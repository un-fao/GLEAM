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codeName="ThisWorkbook"/>
  <mc:AlternateContent xmlns:mc="http://schemas.openxmlformats.org/markup-compatibility/2006">
    <mc:Choice Requires="x15">
      <x15ac:absPath xmlns:x15ac="http://schemas.microsoft.com/office/spreadsheetml/2010/11/ac" url="https://unfao-my.sharepoint.com/personal/giuseppe_tempio_fao_org1/Documents/GLEAMx/Feed/"/>
    </mc:Choice>
  </mc:AlternateContent>
  <xr:revisionPtr revIDLastSave="162" documentId="13_ncr:1_{7633D7A8-79FE-4919-A607-AEC888E47D7E}" xr6:coauthVersionLast="47" xr6:coauthVersionMax="47" xr10:uidLastSave="{5724724D-365E-4F49-83C2-14E80BAA4384}"/>
  <bookViews>
    <workbookView xWindow="-120" yWindow="-120" windowWidth="29040" windowHeight="15840" tabRatio="769" xr2:uid="{00000000-000D-0000-FFFF-FFFF00000000}"/>
  </bookViews>
  <sheets>
    <sheet name="Complete_list" sheetId="66" r:id="rId1"/>
    <sheet name="Change_LOG" sheetId="67" r:id="rId2"/>
    <sheet name="Milk_composition" sheetId="68" r:id="rId3"/>
    <sheet name="Sunflower meal" sheetId="41" r:id="rId4"/>
    <sheet name="Pumpkin" sheetId="32" r:id="rId5"/>
    <sheet name="Okra" sheetId="33" r:id="rId6"/>
    <sheet name="Fodder silage maize)" sheetId="31" r:id="rId7"/>
    <sheet name="Maize stover)" sheetId="3" r:id="rId8"/>
    <sheet name="MIllet stover)" sheetId="4" r:id="rId9"/>
    <sheet name="Pigeon peas straw)" sheetId="24" r:id="rId10"/>
    <sheet name="Banana stems)" sheetId="29" r:id="rId11"/>
    <sheet name="Mango" sheetId="34" r:id="rId12"/>
    <sheet name="Lemon Lime" sheetId="36" r:id="rId13"/>
    <sheet name="Carobs" sheetId="39" r:id="rId14"/>
    <sheet name="Castor oil" sheetId="43" r:id="rId15"/>
    <sheet name="Poppy oil meal" sheetId="44" r:id="rId16"/>
    <sheet name="Orange" sheetId="37" r:id="rId17"/>
    <sheet name="Grapes" sheetId="38" r:id="rId18"/>
    <sheet name="Papaya" sheetId="35" r:id="rId19"/>
    <sheet name="Olives residues" sheetId="46" r:id="rId20"/>
    <sheet name="Olive  oil cake" sheetId="47" r:id="rId21"/>
    <sheet name="Palm kernels" sheetId="48" r:id="rId22"/>
    <sheet name="Yams" sheetId="49" r:id="rId23"/>
    <sheet name="Taro" sheetId="50" r:id="rId24"/>
    <sheet name="Yautia" sheetId="51" r:id="rId25"/>
    <sheet name="Lupins)" sheetId="25" r:id="rId26"/>
    <sheet name="Cereal straws" sheetId="52" r:id="rId27"/>
    <sheet name="Clover forage" sheetId="53" r:id="rId28"/>
    <sheet name="Hay grass non leguminose" sheetId="54" r:id="rId29"/>
    <sheet name="Hay grass leguminose" sheetId="55" r:id="rId30"/>
    <sheet name="Other grass" sheetId="56" r:id="rId31"/>
    <sheet name="Other legumes" sheetId="57" r:id="rId32"/>
    <sheet name="Maize)" sheetId="26" r:id="rId33"/>
    <sheet name="MIllet)" sheetId="7" r:id="rId34"/>
    <sheet name="Soybean meal)" sheetId="8" r:id="rId35"/>
    <sheet name="Linseed meal)" sheetId="9" r:id="rId36"/>
    <sheet name="Copra meal)" sheetId="10" r:id="rId37"/>
    <sheet name="Groundnut meal)" sheetId="11" r:id="rId38"/>
    <sheet name="Cake of Bran Rice" sheetId="60" r:id="rId39"/>
    <sheet name="Whey,dry" sheetId="64" r:id="rId40"/>
    <sheet name="Buckwheat Bran" sheetId="65" r:id="rId41"/>
    <sheet name="Bran of Rice" sheetId="61" r:id="rId42"/>
    <sheet name="Maize germ meal" sheetId="62" r:id="rId43"/>
    <sheet name="Maize germ" sheetId="63" r:id="rId44"/>
    <sheet name="Hempseed meal)" sheetId="13" r:id="rId45"/>
    <sheet name="Rapeseed meal)" sheetId="20" r:id="rId46"/>
    <sheet name="Cottonseed meal)" sheetId="21" r:id="rId47"/>
    <sheet name="Meat meal" sheetId="58" r:id="rId48"/>
    <sheet name="Fish meal" sheetId="59" r:id="rId49"/>
    <sheet name="Palm kernel meal)" sheetId="22" r:id="rId50"/>
    <sheet name="GRNBYDRY)" sheetId="27" r:id="rId51"/>
    <sheet name="GRNBYWET)" sheetId="28" r:id="rId52"/>
  </sheets>
  <definedNames>
    <definedName name="_xlnm._FilterDatabase" localSheetId="0" hidden="1">Complete_list!$A$1:$AG$346</definedName>
    <definedName name="Feed_list_merged_1" localSheetId="0">Complete_list!$F$1:$AF$345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346" i="66" l="1"/>
  <c r="AA162" i="66"/>
  <c r="AB346" i="66"/>
  <c r="AB165" i="66"/>
  <c r="AA165" i="66" s="1"/>
  <c r="AB164" i="66"/>
  <c r="AA164" i="66" s="1"/>
  <c r="AB163" i="66"/>
  <c r="AA163" i="66" s="1"/>
  <c r="AB162" i="66"/>
  <c r="AB161" i="66"/>
  <c r="AA161" i="66" s="1"/>
  <c r="AE346" i="66"/>
  <c r="Y346" i="66"/>
  <c r="W346" i="66"/>
  <c r="U346" i="66"/>
  <c r="T346" i="66"/>
  <c r="AE162" i="66"/>
  <c r="AE163" i="66"/>
  <c r="AE164" i="66"/>
  <c r="AE165" i="66"/>
  <c r="AE161" i="66"/>
  <c r="X162" i="66"/>
  <c r="X163" i="66"/>
  <c r="X164" i="66"/>
  <c r="X165" i="66"/>
  <c r="X161" i="66"/>
  <c r="V162" i="66"/>
  <c r="V163" i="66"/>
  <c r="V164" i="66"/>
  <c r="V165" i="66"/>
  <c r="V161" i="66"/>
  <c r="U162" i="66"/>
  <c r="U163" i="66"/>
  <c r="U164" i="66"/>
  <c r="U165" i="66"/>
  <c r="U161" i="66"/>
  <c r="T165" i="66"/>
  <c r="T164" i="66"/>
  <c r="T163" i="66"/>
  <c r="T162" i="66"/>
  <c r="T161" i="66"/>
  <c r="B2" i="68"/>
  <c r="C2" i="68" s="1"/>
  <c r="F2" i="68" s="1"/>
  <c r="D2" i="68" s="1"/>
  <c r="H2" i="68"/>
  <c r="B3" i="68"/>
  <c r="H3" i="68" s="1"/>
  <c r="B4" i="68"/>
  <c r="C4" i="68" s="1"/>
  <c r="F4" i="68" s="1"/>
  <c r="D4" i="68" s="1"/>
  <c r="B5" i="68"/>
  <c r="C5" i="68" s="1"/>
  <c r="F5" i="68" s="1"/>
  <c r="D5" i="68" s="1"/>
  <c r="B6" i="68"/>
  <c r="C6" i="68"/>
  <c r="F6" i="68" s="1"/>
  <c r="D6" i="68" s="1"/>
  <c r="H6" i="68"/>
  <c r="C7" i="68"/>
  <c r="G7" i="68" s="1"/>
  <c r="E7" i="68" s="1"/>
  <c r="H7" i="68"/>
  <c r="T2" i="66"/>
  <c r="AB153" i="66"/>
  <c r="AB155" i="66"/>
  <c r="S150" i="66"/>
  <c r="R150" i="66"/>
  <c r="S141" i="66"/>
  <c r="R141" i="66"/>
  <c r="S140" i="66"/>
  <c r="R140" i="66"/>
  <c r="S137" i="66"/>
  <c r="R137" i="66"/>
  <c r="H4" i="68" l="1"/>
  <c r="C3" i="68"/>
  <c r="F3" i="68" s="1"/>
  <c r="D3" i="68" s="1"/>
  <c r="H5" i="68"/>
  <c r="T156" i="66"/>
  <c r="T52" i="66"/>
  <c r="U154" i="66"/>
  <c r="X154" i="66"/>
  <c r="Z154" i="66"/>
  <c r="AA154" i="66"/>
  <c r="AC154" i="66"/>
  <c r="T154" i="66"/>
  <c r="AB2" i="66"/>
  <c r="AB154" i="66" s="1"/>
  <c r="AD2" i="66"/>
  <c r="AD154" i="66" s="1"/>
  <c r="V2" i="66"/>
  <c r="V154" i="66" s="1"/>
  <c r="Y2" i="66"/>
  <c r="Y154" i="66" s="1"/>
  <c r="W2" i="66"/>
  <c r="W154" i="66" s="1"/>
  <c r="AB134" i="66"/>
  <c r="U51" i="66"/>
  <c r="V51" i="66"/>
  <c r="W51" i="66"/>
  <c r="X51" i="66"/>
  <c r="Y51" i="66"/>
  <c r="Z51" i="66"/>
  <c r="AA51" i="66"/>
  <c r="AB51" i="66"/>
  <c r="AC51" i="66"/>
  <c r="AD51" i="66"/>
  <c r="T51" i="66"/>
  <c r="N51" i="66"/>
  <c r="O51" i="66"/>
  <c r="P51" i="66"/>
  <c r="K51" i="66"/>
  <c r="Z8" i="66"/>
  <c r="AB8" i="66"/>
  <c r="AB19" i="66"/>
  <c r="AB20" i="66"/>
  <c r="AB23" i="66"/>
  <c r="Z24" i="66"/>
  <c r="AB24" i="66"/>
  <c r="Z25" i="66"/>
  <c r="AB25" i="66"/>
  <c r="AB26" i="66"/>
  <c r="T28" i="66"/>
  <c r="T29" i="66" s="1"/>
  <c r="T90" i="66" s="1"/>
  <c r="U28" i="66"/>
  <c r="U29" i="66" s="1"/>
  <c r="U90" i="66" s="1"/>
  <c r="W28" i="66"/>
  <c r="W29" i="66" s="1"/>
  <c r="X28" i="66"/>
  <c r="X29" i="66" s="1"/>
  <c r="Y28" i="66"/>
  <c r="Y29" i="66" s="1"/>
  <c r="AA28" i="66"/>
  <c r="AA29" i="66" s="1"/>
  <c r="AC28" i="66"/>
  <c r="AC29" i="66" s="1"/>
  <c r="AD28" i="66"/>
  <c r="AD29" i="66" s="1"/>
  <c r="AD90" i="66" s="1"/>
  <c r="AB30" i="66"/>
  <c r="AB33" i="66"/>
  <c r="AB34" i="66"/>
  <c r="AB38" i="66"/>
  <c r="AB39" i="66"/>
  <c r="AB40" i="66"/>
  <c r="AB42" i="66"/>
  <c r="AB44" i="66"/>
  <c r="AB45" i="66"/>
  <c r="AB46" i="66"/>
  <c r="AB54" i="66"/>
  <c r="AB56" i="66"/>
  <c r="AB57" i="66"/>
  <c r="AB58" i="66"/>
  <c r="AB59" i="66"/>
  <c r="AB60" i="66"/>
  <c r="AB61" i="66"/>
  <c r="AB62" i="66"/>
  <c r="AB63" i="66"/>
  <c r="AB64" i="66"/>
  <c r="AB65" i="66"/>
  <c r="AB66" i="66"/>
  <c r="AB67" i="66"/>
  <c r="AB76" i="66"/>
  <c r="Z79" i="66"/>
  <c r="AB79" i="66"/>
  <c r="AB80" i="66"/>
  <c r="AB81" i="66"/>
  <c r="AB82" i="66"/>
  <c r="AB83" i="66"/>
  <c r="Z84" i="66"/>
  <c r="AB84" i="66"/>
  <c r="AB86" i="66"/>
  <c r="AB87" i="66"/>
  <c r="Y90" i="66"/>
  <c r="AB94" i="66"/>
  <c r="AB95" i="66"/>
  <c r="V96" i="66"/>
  <c r="Z96" i="66"/>
  <c r="AB96" i="66"/>
  <c r="AB97" i="66"/>
  <c r="AB98" i="66"/>
  <c r="AB99" i="66"/>
  <c r="AB101" i="66"/>
  <c r="AB102" i="66"/>
  <c r="V132" i="66"/>
  <c r="AB132" i="66"/>
  <c r="AB138" i="66"/>
  <c r="AB139" i="66"/>
  <c r="AB142" i="66"/>
  <c r="AB144" i="66"/>
  <c r="AB146" i="66"/>
  <c r="AB148" i="66"/>
  <c r="AB149" i="66" s="1"/>
  <c r="T149" i="66"/>
  <c r="T151" i="66" s="1"/>
  <c r="U149" i="66"/>
  <c r="U157" i="66" s="1"/>
  <c r="V149" i="66"/>
  <c r="V157" i="66" s="1"/>
  <c r="X149" i="66"/>
  <c r="X157" i="66" s="1"/>
  <c r="X90" i="66" s="1"/>
  <c r="AA149" i="66"/>
  <c r="AA151" i="66" s="1"/>
  <c r="AC149" i="66"/>
  <c r="AC151" i="66" s="1"/>
  <c r="AE149" i="66"/>
  <c r="AB150" i="66"/>
  <c r="W151" i="66"/>
  <c r="AB152" i="66"/>
  <c r="U156" i="66"/>
  <c r="V156" i="66"/>
  <c r="W156" i="66"/>
  <c r="W52" i="66" s="1"/>
  <c r="X156" i="66"/>
  <c r="Y156" i="66"/>
  <c r="Y52" i="66" s="1"/>
  <c r="Z156" i="66"/>
  <c r="AA156" i="66"/>
  <c r="AC156" i="66"/>
  <c r="AD156" i="66"/>
  <c r="W157" i="66"/>
  <c r="Y157" i="66"/>
  <c r="Z157" i="66"/>
  <c r="AD157" i="66"/>
  <c r="AB187" i="66"/>
  <c r="AB188" i="66"/>
  <c r="V189" i="66"/>
  <c r="Z189" i="66"/>
  <c r="AB189" i="66"/>
  <c r="AB192" i="66"/>
  <c r="V205" i="66"/>
  <c r="Z205" i="66"/>
  <c r="AB206" i="66"/>
  <c r="AB209" i="66"/>
  <c r="AB210" i="66"/>
  <c r="AB217" i="66"/>
  <c r="AB225" i="66"/>
  <c r="AB232" i="66"/>
  <c r="V233" i="66"/>
  <c r="AB233" i="66"/>
  <c r="V234" i="66"/>
  <c r="AB234" i="66"/>
  <c r="V235" i="66"/>
  <c r="AB235" i="66"/>
  <c r="AB256" i="66"/>
  <c r="AB261" i="66"/>
  <c r="V262" i="66"/>
  <c r="Z262" i="66"/>
  <c r="AB262" i="66"/>
  <c r="Z266" i="66"/>
  <c r="AB266" i="66"/>
  <c r="V268" i="66"/>
  <c r="AB268" i="66"/>
  <c r="AB278" i="66"/>
  <c r="V279" i="66"/>
  <c r="AB279" i="66"/>
  <c r="V280" i="66"/>
  <c r="AB280" i="66"/>
  <c r="AB292" i="66"/>
  <c r="Z309" i="66"/>
  <c r="AB309" i="66"/>
  <c r="AB310" i="66"/>
  <c r="AB312" i="66"/>
  <c r="AB313" i="66"/>
  <c r="AB314" i="66"/>
  <c r="AB315" i="66"/>
  <c r="AB317" i="66"/>
  <c r="V324" i="66"/>
  <c r="Z324" i="66"/>
  <c r="AB324" i="66"/>
  <c r="V329" i="66"/>
  <c r="AB329" i="66"/>
  <c r="AB332" i="66"/>
  <c r="J19" i="28"/>
  <c r="F19" i="28"/>
  <c r="B19" i="28"/>
  <c r="J15" i="27"/>
  <c r="F15" i="27"/>
  <c r="B15" i="27"/>
  <c r="K8" i="65"/>
  <c r="J8" i="65"/>
  <c r="I8" i="65"/>
  <c r="H8" i="65"/>
  <c r="G8" i="65"/>
  <c r="F8" i="65"/>
  <c r="E8" i="65"/>
  <c r="D8" i="65"/>
  <c r="C8" i="65"/>
  <c r="B8" i="65"/>
  <c r="D5" i="65"/>
  <c r="I6" i="65"/>
  <c r="D6" i="65"/>
  <c r="I5" i="65"/>
  <c r="K37" i="64"/>
  <c r="J37" i="64"/>
  <c r="I37" i="64"/>
  <c r="H37" i="64"/>
  <c r="G37" i="64"/>
  <c r="F37" i="64"/>
  <c r="E37" i="64"/>
  <c r="D37" i="64"/>
  <c r="C37" i="64"/>
  <c r="B37" i="64"/>
  <c r="J7" i="9"/>
  <c r="F7" i="9"/>
  <c r="B7" i="9"/>
  <c r="J7" i="20"/>
  <c r="F7" i="20"/>
  <c r="B7" i="20"/>
  <c r="F7" i="10"/>
  <c r="J7" i="10"/>
  <c r="B7" i="10"/>
  <c r="K7" i="63"/>
  <c r="J7" i="63"/>
  <c r="I7" i="63"/>
  <c r="H7" i="63"/>
  <c r="G7" i="63"/>
  <c r="F7" i="63"/>
  <c r="E7" i="63"/>
  <c r="D7" i="63"/>
  <c r="C7" i="63"/>
  <c r="B7" i="63"/>
  <c r="K11" i="62"/>
  <c r="J11" i="62"/>
  <c r="I11" i="62"/>
  <c r="H11" i="62"/>
  <c r="G11" i="62"/>
  <c r="F11" i="62"/>
  <c r="E11" i="62"/>
  <c r="D11" i="62"/>
  <c r="C11" i="62"/>
  <c r="B11" i="62"/>
  <c r="K9" i="61"/>
  <c r="J9" i="61"/>
  <c r="I9" i="61"/>
  <c r="H9" i="61"/>
  <c r="G9" i="61"/>
  <c r="F9" i="61"/>
  <c r="E9" i="61"/>
  <c r="D9" i="61"/>
  <c r="C9" i="61"/>
  <c r="B9" i="61"/>
  <c r="I6" i="61"/>
  <c r="K8" i="60"/>
  <c r="J8" i="60"/>
  <c r="I8" i="60"/>
  <c r="H8" i="60"/>
  <c r="G8" i="60"/>
  <c r="F8" i="60"/>
  <c r="E8" i="60"/>
  <c r="D8" i="60"/>
  <c r="C8" i="60"/>
  <c r="B8" i="60"/>
  <c r="I6" i="60"/>
  <c r="I5" i="60"/>
  <c r="I4" i="60"/>
  <c r="F8" i="11"/>
  <c r="J8" i="11"/>
  <c r="B8" i="11"/>
  <c r="K8" i="59"/>
  <c r="J8" i="59"/>
  <c r="I8" i="59"/>
  <c r="H8" i="59"/>
  <c r="G8" i="59"/>
  <c r="F8" i="59"/>
  <c r="E8" i="59"/>
  <c r="D8" i="59"/>
  <c r="C8" i="59"/>
  <c r="B8" i="59"/>
  <c r="K7" i="58"/>
  <c r="J7" i="58"/>
  <c r="I7" i="58"/>
  <c r="H7" i="58"/>
  <c r="G7" i="58"/>
  <c r="C7" i="58"/>
  <c r="B7" i="58"/>
  <c r="F9" i="21"/>
  <c r="J9" i="21"/>
  <c r="B9" i="21"/>
  <c r="K14" i="57"/>
  <c r="F14" i="57"/>
  <c r="E14" i="57"/>
  <c r="D14" i="57"/>
  <c r="C14" i="57"/>
  <c r="B14" i="57"/>
  <c r="K13" i="56"/>
  <c r="F13" i="56"/>
  <c r="E13" i="56"/>
  <c r="D13" i="56"/>
  <c r="C13" i="56"/>
  <c r="B13" i="56"/>
  <c r="K10" i="55"/>
  <c r="F10" i="55"/>
  <c r="E10" i="55"/>
  <c r="D10" i="55"/>
  <c r="C10" i="55"/>
  <c r="B10" i="55"/>
  <c r="K11" i="54"/>
  <c r="F11" i="54"/>
  <c r="E11" i="54"/>
  <c r="D11" i="54"/>
  <c r="C11" i="54"/>
  <c r="B11" i="54"/>
  <c r="K12" i="53"/>
  <c r="F12" i="53"/>
  <c r="E12" i="53"/>
  <c r="D12" i="53"/>
  <c r="C12" i="53"/>
  <c r="B12" i="53"/>
  <c r="K11" i="52"/>
  <c r="J11" i="52"/>
  <c r="I11" i="52"/>
  <c r="H11" i="52"/>
  <c r="G11" i="52"/>
  <c r="F11" i="52"/>
  <c r="E11" i="52"/>
  <c r="D11" i="52"/>
  <c r="C11" i="52"/>
  <c r="B11" i="52"/>
  <c r="I6" i="52"/>
  <c r="F9" i="31"/>
  <c r="B9" i="31"/>
  <c r="F8" i="25"/>
  <c r="J8" i="25"/>
  <c r="B8" i="25"/>
  <c r="B7" i="24"/>
  <c r="J7" i="24"/>
  <c r="G7" i="24"/>
  <c r="H7" i="24"/>
  <c r="J8" i="51"/>
  <c r="G8" i="51"/>
  <c r="C8" i="51"/>
  <c r="B8" i="51"/>
  <c r="J8" i="50"/>
  <c r="I8" i="50"/>
  <c r="H8" i="50"/>
  <c r="G8" i="50"/>
  <c r="F8" i="50"/>
  <c r="E8" i="50"/>
  <c r="D8" i="50"/>
  <c r="C8" i="50"/>
  <c r="B8" i="50"/>
  <c r="I6" i="50"/>
  <c r="J9" i="49"/>
  <c r="G9" i="49"/>
  <c r="C9" i="49"/>
  <c r="B9" i="49"/>
  <c r="F7" i="22"/>
  <c r="J7" i="22"/>
  <c r="C7" i="22"/>
  <c r="J9" i="48"/>
  <c r="G9" i="48"/>
  <c r="F9" i="48"/>
  <c r="E9" i="48"/>
  <c r="D9" i="48"/>
  <c r="C9" i="48"/>
  <c r="B9" i="48"/>
  <c r="D6" i="48"/>
  <c r="J9" i="47"/>
  <c r="G9" i="47"/>
  <c r="F9" i="47"/>
  <c r="E9" i="47"/>
  <c r="D9" i="47"/>
  <c r="C9" i="47"/>
  <c r="B9" i="47"/>
  <c r="J8" i="46"/>
  <c r="F8" i="46"/>
  <c r="E8" i="46"/>
  <c r="D8" i="46"/>
  <c r="C8" i="46"/>
  <c r="B8" i="46"/>
  <c r="C7" i="13"/>
  <c r="K7" i="44"/>
  <c r="H7" i="44"/>
  <c r="G7" i="44"/>
  <c r="F7" i="44"/>
  <c r="E7" i="44"/>
  <c r="D7" i="44"/>
  <c r="C7" i="44"/>
  <c r="B7" i="44"/>
  <c r="D4" i="43"/>
  <c r="K7" i="43"/>
  <c r="J7" i="43"/>
  <c r="I7" i="43"/>
  <c r="H7" i="43"/>
  <c r="G7" i="43"/>
  <c r="F7" i="43"/>
  <c r="E7" i="43"/>
  <c r="D7" i="43"/>
  <c r="C7" i="43"/>
  <c r="B7" i="43"/>
  <c r="I5" i="43"/>
  <c r="D5" i="43"/>
  <c r="I4" i="43"/>
  <c r="K8" i="41"/>
  <c r="J8" i="41"/>
  <c r="I8" i="41"/>
  <c r="H8" i="41"/>
  <c r="G8" i="41"/>
  <c r="F8" i="41"/>
  <c r="E8" i="41"/>
  <c r="D8" i="41"/>
  <c r="C8" i="41"/>
  <c r="B8" i="41"/>
  <c r="J7" i="8"/>
  <c r="B7" i="8"/>
  <c r="K9" i="39"/>
  <c r="J9" i="39"/>
  <c r="H9" i="39"/>
  <c r="G9" i="39"/>
  <c r="F9" i="39"/>
  <c r="E9" i="39"/>
  <c r="D9" i="39"/>
  <c r="C9" i="39"/>
  <c r="B9" i="39"/>
  <c r="K7" i="38"/>
  <c r="F7" i="38"/>
  <c r="E7" i="38"/>
  <c r="D7" i="38"/>
  <c r="C7" i="38"/>
  <c r="B7" i="38"/>
  <c r="J8" i="37"/>
  <c r="F8" i="37"/>
  <c r="E8" i="37"/>
  <c r="D8" i="37"/>
  <c r="K8" i="37"/>
  <c r="G8" i="37"/>
  <c r="C8" i="37"/>
  <c r="B8" i="37"/>
  <c r="K8" i="36"/>
  <c r="G8" i="36"/>
  <c r="C8" i="36"/>
  <c r="B8" i="36"/>
  <c r="J13" i="35"/>
  <c r="G13" i="35"/>
  <c r="C13" i="35"/>
  <c r="B13" i="35"/>
  <c r="J13" i="34"/>
  <c r="G13" i="34"/>
  <c r="E13" i="34"/>
  <c r="D13" i="34"/>
  <c r="C13" i="34"/>
  <c r="B13" i="34"/>
  <c r="H13" i="34"/>
  <c r="B10" i="29"/>
  <c r="J13" i="33"/>
  <c r="G13" i="33"/>
  <c r="C13" i="33"/>
  <c r="F13" i="33"/>
  <c r="E13" i="33"/>
  <c r="B13" i="33"/>
  <c r="J13" i="32"/>
  <c r="G13" i="32"/>
  <c r="F13" i="32"/>
  <c r="E13" i="32"/>
  <c r="C13" i="32"/>
  <c r="B13" i="32"/>
  <c r="J9" i="7"/>
  <c r="B9" i="7"/>
  <c r="F9" i="4"/>
  <c r="B9" i="4"/>
  <c r="H11" i="26"/>
  <c r="K11" i="26"/>
  <c r="D11" i="26"/>
  <c r="E11" i="26"/>
  <c r="G11" i="26"/>
  <c r="B11" i="26"/>
  <c r="B7" i="3"/>
  <c r="J9" i="31"/>
  <c r="I9" i="31"/>
  <c r="H9" i="31"/>
  <c r="G9" i="31"/>
  <c r="E9" i="31"/>
  <c r="D9" i="31"/>
  <c r="C9" i="31"/>
  <c r="T157" i="66" l="1"/>
  <c r="W90" i="66"/>
  <c r="V28" i="66"/>
  <c r="V29" i="66" s="1"/>
  <c r="V90" i="66" s="1"/>
  <c r="X52" i="66"/>
  <c r="V52" i="66"/>
  <c r="U52" i="66"/>
  <c r="AD52" i="66"/>
  <c r="AA52" i="66"/>
  <c r="Z28" i="66"/>
  <c r="AB28" i="66"/>
  <c r="AB29" i="66" s="1"/>
  <c r="AC157" i="66"/>
  <c r="AC90" i="66" s="1"/>
  <c r="V151" i="66"/>
  <c r="U151" i="66"/>
  <c r="AB156" i="66"/>
  <c r="AB90" i="66"/>
  <c r="AB151" i="66"/>
  <c r="AB157" i="66"/>
  <c r="AA157" i="66"/>
  <c r="AA90" i="66" s="1"/>
  <c r="X151" i="66"/>
  <c r="AC52" i="66" l="1"/>
  <c r="Z29" i="66"/>
  <c r="Z90" i="66" s="1"/>
  <c r="Z52" i="66"/>
  <c r="AB52" i="66"/>
  <c r="J10" i="29"/>
  <c r="H10" i="29"/>
  <c r="G10" i="29"/>
  <c r="E10" i="29"/>
  <c r="D10" i="29"/>
  <c r="C10" i="29"/>
  <c r="I16" i="28"/>
  <c r="I14" i="28"/>
  <c r="I13" i="28"/>
  <c r="I8" i="28"/>
  <c r="D7" i="28"/>
  <c r="D19" i="28" s="1"/>
  <c r="I9" i="28"/>
  <c r="H19" i="28"/>
  <c r="K19" i="28"/>
  <c r="G19" i="28"/>
  <c r="E19" i="28"/>
  <c r="C19" i="28"/>
  <c r="I13" i="27"/>
  <c r="I11" i="27"/>
  <c r="K15" i="27"/>
  <c r="G15" i="27"/>
  <c r="H15" i="27"/>
  <c r="I4" i="27"/>
  <c r="E15" i="27"/>
  <c r="D15" i="27"/>
  <c r="C15" i="27"/>
  <c r="I15" i="27" l="1"/>
  <c r="I19" i="28"/>
  <c r="J9" i="26" l="1"/>
  <c r="J6" i="26"/>
  <c r="I11" i="26"/>
  <c r="F11" i="26"/>
  <c r="C11" i="26"/>
  <c r="J11" i="26" l="1"/>
  <c r="D6" i="25"/>
  <c r="I5" i="25"/>
  <c r="I8" i="25" s="1"/>
  <c r="D5" i="25"/>
  <c r="D4" i="25"/>
  <c r="K8" i="25"/>
  <c r="H8" i="25"/>
  <c r="E8" i="25"/>
  <c r="C8" i="25"/>
  <c r="G8" i="25"/>
  <c r="K7" i="24"/>
  <c r="F7" i="24"/>
  <c r="D7" i="24"/>
  <c r="C7" i="24"/>
  <c r="D8" i="25" l="1"/>
  <c r="K7" i="22"/>
  <c r="I7" i="22"/>
  <c r="H7" i="22"/>
  <c r="G7" i="22"/>
  <c r="E7" i="22"/>
  <c r="D7" i="22"/>
  <c r="B7" i="22"/>
  <c r="D4" i="21"/>
  <c r="D9" i="21" s="1"/>
  <c r="K9" i="21"/>
  <c r="I9" i="21"/>
  <c r="H9" i="21"/>
  <c r="G9" i="21"/>
  <c r="E9" i="21"/>
  <c r="C9" i="21"/>
  <c r="I5" i="20" l="1"/>
  <c r="D5" i="20"/>
  <c r="I4" i="20"/>
  <c r="D4" i="20"/>
  <c r="D7" i="20" s="1"/>
  <c r="K7" i="20"/>
  <c r="H7" i="20"/>
  <c r="G7" i="20"/>
  <c r="E7" i="20"/>
  <c r="C7" i="20"/>
  <c r="D5" i="13"/>
  <c r="G5" i="13"/>
  <c r="G7" i="13"/>
  <c r="D4" i="13"/>
  <c r="K7" i="13"/>
  <c r="I7" i="13"/>
  <c r="H7" i="13"/>
  <c r="E7" i="13"/>
  <c r="B7" i="13"/>
  <c r="G5" i="11"/>
  <c r="G8" i="11" s="1"/>
  <c r="K8" i="11"/>
  <c r="H8" i="11"/>
  <c r="E8" i="11"/>
  <c r="C8" i="11"/>
  <c r="I8" i="11"/>
  <c r="D8" i="11"/>
  <c r="K7" i="10"/>
  <c r="I7" i="10"/>
  <c r="H7" i="10"/>
  <c r="G7" i="10"/>
  <c r="E7" i="10"/>
  <c r="C7" i="10"/>
  <c r="D7" i="10"/>
  <c r="K7" i="9"/>
  <c r="I7" i="9"/>
  <c r="H7" i="9"/>
  <c r="G7" i="9"/>
  <c r="E7" i="9"/>
  <c r="C7" i="9"/>
  <c r="D5" i="9"/>
  <c r="D4" i="9"/>
  <c r="D7" i="9" s="1"/>
  <c r="D5" i="8"/>
  <c r="D4" i="8"/>
  <c r="C7" i="8"/>
  <c r="K7" i="8"/>
  <c r="I7" i="8"/>
  <c r="H7" i="8"/>
  <c r="G7" i="8"/>
  <c r="E7" i="8"/>
  <c r="K9" i="7"/>
  <c r="E9" i="7"/>
  <c r="G9" i="7"/>
  <c r="H9" i="7"/>
  <c r="C9" i="7"/>
  <c r="I7" i="7"/>
  <c r="I9" i="7" s="1"/>
  <c r="D7" i="7"/>
  <c r="D5" i="7"/>
  <c r="D9" i="7" l="1"/>
  <c r="D7" i="13"/>
  <c r="I7" i="20"/>
  <c r="D7" i="8"/>
  <c r="J9" i="4" l="1"/>
  <c r="H9" i="4"/>
  <c r="G9" i="4"/>
  <c r="E9" i="4"/>
  <c r="D9" i="4"/>
  <c r="C9" i="4"/>
  <c r="I7" i="3"/>
  <c r="H7" i="3"/>
  <c r="G7" i="3"/>
  <c r="F7" i="3"/>
  <c r="E7" i="3"/>
  <c r="D7" i="3"/>
  <c r="C7"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tc={34E43497-B2C3-4BD8-9B1E-3E453A759511}</author>
    <author>tc={7492EA1B-269A-4DD3-901A-45315255FB4D}</author>
    <author>tc={24B367E7-9FE2-450F-8A04-B0286CC6B29F}</author>
    <author>tc={80DC9BCF-0E83-40AE-BA51-81BE88992B32}</author>
    <author>tc={A279700E-42B5-4355-8FC7-66A046E15082}</author>
    <author>tc={6DCEE404-0CE5-4B8A-B439-24A2894FB0D2}</author>
    <author>tc={D63E9B79-E3CE-481F-9407-7EFDCF0E3379}</author>
  </authors>
  <commentList>
    <comment ref="F140" authorId="0" shapeId="0" xr:uid="{34E43497-B2C3-4BD8-9B1E-3E453A759511}">
      <text>
        <t>[Threaded comment]
Your version of Excel allows you to read this threaded comment; however, any edits to it will get removed if the file is opened in a newer version of Excel. Learn more: https://go.microsoft.com/fwlink/?linkid=870924
Comment:
    item code not in FAOSTAT</t>
      </text>
    </comment>
    <comment ref="F148" authorId="1" shapeId="0" xr:uid="{7492EA1B-269A-4DD3-901A-45315255FB4D}">
      <text>
        <t>[Threaded comment]
Your version of Excel allows you to read this threaded comment; however, any edits to it will get removed if the file is opened in a newer version of Excel. Learn more: https://go.microsoft.com/fwlink/?linkid=870924
Comment:
    same item number</t>
      </text>
    </comment>
    <comment ref="F184" authorId="2" shapeId="0" xr:uid="{24B367E7-9FE2-450F-8A04-B0286CC6B29F}">
      <text>
        <t>[Threaded comment]
Your version of Excel allows you to read this threaded comment; however, any edits to it will get removed if the file is opened in a newer version of Excel. Learn more: https://go.microsoft.com/fwlink/?linkid=870924
Comment:
    not sure if it is correct  poultry offal meal</t>
      </text>
    </comment>
    <comment ref="F188" authorId="3" shapeId="0" xr:uid="{80DC9BCF-0E83-40AE-BA51-81BE88992B32}">
      <text>
        <t>[Threaded comment]
Your version of Excel allows you to read this threaded comment; however, any edits to it will get removed if the file is opened in a newer version of Excel. Learn more: https://go.microsoft.com/fwlink/?linkid=870924
Comment:
    Wrong item code CPC</t>
      </text>
    </comment>
    <comment ref="J189" authorId="4" shapeId="0" xr:uid="{A279700E-42B5-4355-8FC7-66A046E15082}">
      <text>
        <t>[Threaded comment]
Your version of Excel allows you to read this threaded comment; however, any edits to it will get removed if the file is opened in a newer version of Excel. Learn more: https://go.microsoft.com/fwlink/?linkid=870924
Comment:
    not sure that it means this… bot confused with potatoes</t>
      </text>
    </comment>
    <comment ref="F257" authorId="5" shapeId="0" xr:uid="{6DCEE404-0CE5-4B8A-B439-24A2894FB0D2}">
      <text>
        <t xml:space="preserve">[Threaded comment]
Your version of Excel allows you to read this threaded comment; however, any edits to it will get removed if the file is opened in a newer version of Excel. Learn more: https://go.microsoft.com/fwlink/?linkid=870924
Comment:
    not sure what is it </t>
      </text>
    </comment>
    <comment ref="F296" authorId="6" shapeId="0" xr:uid="{D63E9B79-E3CE-481F-9407-7EFDCF0E3379}">
      <text>
        <t>[Threaded comment]
Your version of Excel allows you to read this threaded comment; however, any edits to it will get removed if the file is opened in a newer version of Excel. Learn more: https://go.microsoft.com/fwlink/?linkid=870924
Comment:
    same item code cpc</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DA7BB57-8D8D-FD46-A9FB-7357E97990D0}" name="Feed_list_merged" type="6" refreshedVersion="8" background="1" saveData="1">
    <textPr sourceFile="/Users/cristianapoggi/computer/FAO/feed/Feed_list_merged.csv" tab="0" comma="1">
      <textFields count="21">
        <textField/>
        <textField/>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<sst xmlns="http://schemas.openxmlformats.org/spreadsheetml/2006/main" count="4046" uniqueCount="1820">
  <si>
    <t>GLEAM_code</t>
  </si>
  <si>
    <t>Item_Name</t>
  </si>
  <si>
    <t>GLEAM3_name</t>
  </si>
  <si>
    <t>Category</t>
  </si>
  <si>
    <t>Description</t>
  </si>
  <si>
    <t>Cattle</t>
  </si>
  <si>
    <t>Sheep</t>
  </si>
  <si>
    <t>Goat</t>
  </si>
  <si>
    <t xml:space="preserve">Pigs </t>
  </si>
  <si>
    <t>Chicken</t>
  </si>
  <si>
    <t>Species</t>
  </si>
  <si>
    <t>FAOSTAT domain</t>
  </si>
  <si>
    <t>Dry matter content (%)</t>
  </si>
  <si>
    <t>GE (Mj/kgDM)</t>
  </si>
  <si>
    <t>DE_ruminats (Mj/kgDM)</t>
  </si>
  <si>
    <t>DE_pigs (Mj/kgDM)</t>
  </si>
  <si>
    <t>ME_ruminants (Mj/kgDM)</t>
  </si>
  <si>
    <t>ME_pigs (Mj/kgDM)</t>
  </si>
  <si>
    <t>ME_chickens (Mj/kgDM)</t>
  </si>
  <si>
    <t>CP (% DM)</t>
  </si>
  <si>
    <t>N_content (kg N / kg DM)</t>
  </si>
  <si>
    <t>Nitrogen digestibility (%)ruminans</t>
  </si>
  <si>
    <t>Nitrogen digestibility (%)pigs</t>
  </si>
  <si>
    <t>Reference1</t>
  </si>
  <si>
    <t>Reference2</t>
  </si>
  <si>
    <t>Note</t>
  </si>
  <si>
    <t>F1</t>
  </si>
  <si>
    <t>Fresh grass</t>
  </si>
  <si>
    <t>GRASSF</t>
  </si>
  <si>
    <t>Grass and leaves</t>
  </si>
  <si>
    <t>Any type of natural or cultivated fresh grass grazed or fed to the animals.</t>
  </si>
  <si>
    <t>Y</t>
  </si>
  <si>
    <t>All</t>
  </si>
  <si>
    <t xml:space="preserve">https://www.feedtables.com/content/grass-dehydrated </t>
  </si>
  <si>
    <t>F2</t>
  </si>
  <si>
    <t>Wheat, straw</t>
  </si>
  <si>
    <t>WSTRAW</t>
  </si>
  <si>
    <t>Fibrous residual plant material such as straw, brans, leaves, etc. from wheat (Triticum spp.) cultivation.</t>
  </si>
  <si>
    <t>Ruminants</t>
  </si>
  <si>
    <t>Production</t>
  </si>
  <si>
    <t>http://www.feedipedia.org/node/12758</t>
  </si>
  <si>
    <t>F3</t>
  </si>
  <si>
    <t>Wheat</t>
  </si>
  <si>
    <t>WHEAT</t>
  </si>
  <si>
    <t>Cereals</t>
  </si>
  <si>
    <t>Grains from wheat (Triticum aestivum).</t>
  </si>
  <si>
    <t>https://www.feedipedia.org/node/223</t>
  </si>
  <si>
    <t>F4</t>
  </si>
  <si>
    <t>Maize (corn), stover</t>
  </si>
  <si>
    <t>ZSTOVER</t>
  </si>
  <si>
    <t>Fibrous residual plant material such as straw, brans, leaves, etc. from maize (Zea mays) cultivation.</t>
  </si>
  <si>
    <t>see sheet Maize stover)</t>
  </si>
  <si>
    <t>F5</t>
  </si>
  <si>
    <t>Maize (corn)</t>
  </si>
  <si>
    <t>MAIZE</t>
  </si>
  <si>
    <t>Grains from maize (Zea mays).</t>
  </si>
  <si>
    <t>see sheet Maize)</t>
  </si>
  <si>
    <t>F6</t>
  </si>
  <si>
    <t>Rice, straw</t>
  </si>
  <si>
    <t>RSTRAW</t>
  </si>
  <si>
    <t>Fibrous residual plant material such as straw, brans, leaves, etc. from rice (Oryza spp.) cultivation.</t>
  </si>
  <si>
    <t>http://www.feedipedia.org/node/11646</t>
  </si>
  <si>
    <t>F7</t>
  </si>
  <si>
    <t>Rice</t>
  </si>
  <si>
    <t>RICE</t>
  </si>
  <si>
    <t>Grains from rice (Oryza spp.), polished</t>
  </si>
  <si>
    <t>https://www.feedipedia.org/node/12526</t>
  </si>
  <si>
    <t>F8</t>
  </si>
  <si>
    <t>Sorghum, stover</t>
  </si>
  <si>
    <t>SSTOVER</t>
  </si>
  <si>
    <t>Fibrous residual plant material such as straw, brans, leaves, etc. from sorghum (Sorghum spp.) cultivation.</t>
  </si>
  <si>
    <t>http://www.feedipedia.org/node/12618</t>
  </si>
  <si>
    <t>F9</t>
  </si>
  <si>
    <t>Sorghum</t>
  </si>
  <si>
    <t>SORGHUM</t>
  </si>
  <si>
    <t>Grains from sorghum (Sorghum spp.).</t>
  </si>
  <si>
    <t>https://www.feedipedia.org/node/224</t>
  </si>
  <si>
    <t>F10</t>
  </si>
  <si>
    <t>Barley, straw</t>
  </si>
  <si>
    <t>BSTRAW</t>
  </si>
  <si>
    <t>Fibrous residual plant material such as straw, brans, leaves, etc. from barley (Hordeum vulgare), rye (Secale cereale) or oat (Avena sativa) cultivation.</t>
  </si>
  <si>
    <t>https://www.feedipedia.org/node/11830</t>
  </si>
  <si>
    <t>F11</t>
  </si>
  <si>
    <t>Barley</t>
  </si>
  <si>
    <t>BARLEY</t>
  </si>
  <si>
    <t>Grains from barley (Hordeum vulgare).</t>
  </si>
  <si>
    <t>https://www.feedipedia.org/node/227</t>
  </si>
  <si>
    <t>F12</t>
  </si>
  <si>
    <t>Rye, straw</t>
  </si>
  <si>
    <t>Fibrous residual plant material such as straw, brans, leaves, etc. from ryey (Secale cereale) cultivation.</t>
  </si>
  <si>
    <t>https://www.feedipedia.org/node/14205</t>
  </si>
  <si>
    <t>F13</t>
  </si>
  <si>
    <t>Rye</t>
  </si>
  <si>
    <t>GRAINS</t>
  </si>
  <si>
    <t>Grains from rye (Secale cereale)</t>
  </si>
  <si>
    <t>https://www.feedipedia.org/node/12542</t>
  </si>
  <si>
    <t xml:space="preserve">not used commonly as feed low protein low fibre not palatable </t>
  </si>
  <si>
    <t>F14</t>
  </si>
  <si>
    <t>Oats, straw</t>
  </si>
  <si>
    <t>Fibrous residual plant material such as straw, brans, leaves, etc. from oat (Avena sativa) cultivation.</t>
  </si>
  <si>
    <t>https://www.feedipedia.org/node/12389</t>
  </si>
  <si>
    <t>F15</t>
  </si>
  <si>
    <t>Oats</t>
  </si>
  <si>
    <t>Grains from oat (Avena sativa).</t>
  </si>
  <si>
    <t>https://www.feedipedia.org/node/12391</t>
  </si>
  <si>
    <t>F16</t>
  </si>
  <si>
    <t>Millet, stover</t>
  </si>
  <si>
    <t>MSTOVER</t>
  </si>
  <si>
    <t>Fibrous residual plant material such as straw, brans, leaves, etc. from millet (Pennisetum glaucum, Eleusine coracana, Panicum miliaceum, etc) cultivation.</t>
  </si>
  <si>
    <t>see sheet Millet stover)</t>
  </si>
  <si>
    <t>F17</t>
  </si>
  <si>
    <t>Millet</t>
  </si>
  <si>
    <t>MILLET</t>
  </si>
  <si>
    <t>Grains from millet (P. glaucum, E. coracana, P. miliaceum, and others).</t>
  </si>
  <si>
    <t>Monogastrics</t>
  </si>
  <si>
    <t>see sheet Millet)</t>
  </si>
  <si>
    <t>F18</t>
  </si>
  <si>
    <t>Triticale, straw</t>
  </si>
  <si>
    <t xml:space="preserve">Straws from Triticale </t>
  </si>
  <si>
    <t>https://www.feedipedia.org/node/60</t>
  </si>
  <si>
    <t>F19</t>
  </si>
  <si>
    <t xml:space="preserve">Triticale </t>
  </si>
  <si>
    <t>Grains from Triticale</t>
  </si>
  <si>
    <t>https://www.feedipedia.org/node/6476</t>
  </si>
  <si>
    <t xml:space="preserve">Feedipedia page under costruction </t>
  </si>
  <si>
    <t>F20</t>
  </si>
  <si>
    <t>Buckwheat, straw</t>
  </si>
  <si>
    <t>Fibrous residual plant material such as straw, brans, leaves, etc. from Buckwheat ((Fagopyrum esculentum) cultivation.</t>
  </si>
  <si>
    <t>https://www.feedipedia.org/node/25610</t>
  </si>
  <si>
    <t>F21</t>
  </si>
  <si>
    <t>Buckwheat</t>
  </si>
  <si>
    <t>Grains from buckwheat (Fagopyrum esculentum).</t>
  </si>
  <si>
    <t>https://www.feedipedia.org/node/25140</t>
  </si>
  <si>
    <t>F22</t>
  </si>
  <si>
    <t>Fonio, straw</t>
  </si>
  <si>
    <t>Fibrous residueal material such as straw, brans, leaves, etc, from Fonio (Digitaria exilis)</t>
  </si>
  <si>
    <t>https://www.feedipedia.org/node/460</t>
  </si>
  <si>
    <t>F23</t>
  </si>
  <si>
    <t>Fonio</t>
  </si>
  <si>
    <t>Grains from Fonio (Digitaria exilis)</t>
  </si>
  <si>
    <t>https://www.feedipedia.org/node/228</t>
  </si>
  <si>
    <t>F24</t>
  </si>
  <si>
    <t>Quinoa</t>
  </si>
  <si>
    <t>Grain from Quinoa( Chenopodium quinoa)</t>
  </si>
  <si>
    <t>https://www.feedipedia.org/node/229</t>
  </si>
  <si>
    <t>F25</t>
  </si>
  <si>
    <t>Quinoa, forage</t>
  </si>
  <si>
    <t>Fodder crop</t>
  </si>
  <si>
    <t xml:space="preserve">Quinoa aerial part fresh </t>
  </si>
  <si>
    <t>https://www.feedipedia.org/node/26044</t>
  </si>
  <si>
    <t>F26</t>
  </si>
  <si>
    <t>Canary seed</t>
  </si>
  <si>
    <t>Other</t>
  </si>
  <si>
    <t>Used as bird feed.</t>
  </si>
  <si>
    <t>F27</t>
  </si>
  <si>
    <t>Mixed grain</t>
  </si>
  <si>
    <t>Mixed grains is a mixture of cereal species that are sown and harvested together. It does not include meslin (a mixture wheat/rye)</t>
  </si>
  <si>
    <t>average from Cereals</t>
  </si>
  <si>
    <t>F28</t>
  </si>
  <si>
    <t>Other cereals n.e.</t>
  </si>
  <si>
    <t>This subclass includes among all: Chenopodium pallidicaule (canagua or coaihua), Amaranthus caudatus (quihuicha or Inca wheat), Coix lacryma-jobi (adlay or Job's tears), Zizania aquatica (wild rice) and other cereal crops and hybrid grains that are not identified separately because of their minor relevance at the international level.</t>
  </si>
  <si>
    <t>F29</t>
  </si>
  <si>
    <t>Cabbages</t>
  </si>
  <si>
    <t>Fruits and vegetables</t>
  </si>
  <si>
    <t>Rape forage, fresh (Brassica sp)</t>
  </si>
  <si>
    <t>Trade</t>
  </si>
  <si>
    <t>https://www.feedipedia.org/node/15685</t>
  </si>
  <si>
    <t>F30</t>
  </si>
  <si>
    <t>Cauliflowers and broccoli</t>
  </si>
  <si>
    <t>F31</t>
  </si>
  <si>
    <t>Lettuce and chicory</t>
  </si>
  <si>
    <t>F32</t>
  </si>
  <si>
    <t>Watermelons</t>
  </si>
  <si>
    <t>Fruit fresh (Citrullus lanatus)</t>
  </si>
  <si>
    <t>https://www.feedipedia.org/node/166</t>
  </si>
  <si>
    <t>F33</t>
  </si>
  <si>
    <t>Cantaloupes and other melons</t>
  </si>
  <si>
    <t>Fruit fresh (Cucumis melo)</t>
  </si>
  <si>
    <t>https://www.feedipedia.org/node/12325</t>
  </si>
  <si>
    <t>F34</t>
  </si>
  <si>
    <t>Cucumbers and gherkins</t>
  </si>
  <si>
    <t>F35</t>
  </si>
  <si>
    <t>Eggplants (aubergines)</t>
  </si>
  <si>
    <t>F36</t>
  </si>
  <si>
    <t>Tomatoes</t>
  </si>
  <si>
    <t xml:space="preserve">Fruit fresh </t>
  </si>
  <si>
    <t>https://www.feedipedia.org/node/7791</t>
  </si>
  <si>
    <t>F37</t>
  </si>
  <si>
    <t>Tomato pomace</t>
  </si>
  <si>
    <t>Tomato pomace, tomato skins and tomato seeds</t>
  </si>
  <si>
    <t>https://www.feedipedia.org/node/12705</t>
  </si>
  <si>
    <t>F38</t>
  </si>
  <si>
    <t>Pumpkins, squash and gourds</t>
  </si>
  <si>
    <t xml:space="preserve">Pumpkins fresh, seeds, oil, hulls </t>
  </si>
  <si>
    <t>see sheet Pumpkin</t>
  </si>
  <si>
    <t>F39</t>
  </si>
  <si>
    <t>Okra</t>
  </si>
  <si>
    <t xml:space="preserve">Okra (Abelmoschus esculentus) fruits, seeds, oil, fresh </t>
  </si>
  <si>
    <t>see sheet Okra</t>
  </si>
  <si>
    <t>F40</t>
  </si>
  <si>
    <t>Other beans, green</t>
  </si>
  <si>
    <t>Pulses</t>
  </si>
  <si>
    <t>F41</t>
  </si>
  <si>
    <t>Peas, green</t>
  </si>
  <si>
    <t>PULSES</t>
  </si>
  <si>
    <t xml:space="preserve">Peas seeds </t>
  </si>
  <si>
    <t>https://www.feedipedia.org/node/264</t>
  </si>
  <si>
    <t>F42</t>
  </si>
  <si>
    <t>Broad beans and horse beans, green</t>
  </si>
  <si>
    <t>F43</t>
  </si>
  <si>
    <t>Carrots and turnips</t>
  </si>
  <si>
    <t>Roots and tubers</t>
  </si>
  <si>
    <t xml:space="preserve">Carrot roots  (Daucus  carota) fresh </t>
  </si>
  <si>
    <t>https://www.feedipedia.org/node/11940</t>
  </si>
  <si>
    <t>F44</t>
  </si>
  <si>
    <t>Carrots roots dehydrated</t>
  </si>
  <si>
    <t>Carrot roots, dehydrated</t>
  </si>
  <si>
    <t>https://www.feedipedia.org/node/14338</t>
  </si>
  <si>
    <t>F45</t>
  </si>
  <si>
    <t>Carrots top fresh</t>
  </si>
  <si>
    <t>Carrot tops, fresh</t>
  </si>
  <si>
    <t>https://www.feedipedia.org/node/11939</t>
  </si>
  <si>
    <t>F46</t>
  </si>
  <si>
    <t>Green garlic</t>
  </si>
  <si>
    <t>F47</t>
  </si>
  <si>
    <t>Onions and shallots, green</t>
  </si>
  <si>
    <t>F48</t>
  </si>
  <si>
    <t>Onions and shallots, dry (excluding dehydrated)</t>
  </si>
  <si>
    <t>F49</t>
  </si>
  <si>
    <t>Leeks and other alliaceous vegetables</t>
  </si>
  <si>
    <t>F50</t>
  </si>
  <si>
    <t>Green corn (maize)</t>
  </si>
  <si>
    <t xml:space="preserve">Green corn (maize), species of Zea mays, particularly var. Saccharata, includes maize harvested green for food. Saccharata variety is commonly known as sweet corn, whether or not in the cob. </t>
  </si>
  <si>
    <t>same as Maize (corn)</t>
  </si>
  <si>
    <t xml:space="preserve">Previously associated to fresh aerial parts from Maize, used as fodder; in FAOSTAT, this is actually a variety of maize used for sweet corn production. </t>
  </si>
  <si>
    <t>F51</t>
  </si>
  <si>
    <t>Other vegetables, fresh n.e.</t>
  </si>
  <si>
    <t>NA</t>
  </si>
  <si>
    <t>Includes the fresh vegetables not elsewhere classified. They may not be identified separately because of their minor relevance at the international level. Because of their limited local importance, some countries report vegetables under this heading that are classified individually by FAO</t>
  </si>
  <si>
    <t>average of other vegetables</t>
  </si>
  <si>
    <t>F52</t>
  </si>
  <si>
    <t>Avocados</t>
  </si>
  <si>
    <t>F53</t>
  </si>
  <si>
    <t>Banana stems</t>
  </si>
  <si>
    <t>BNSTEM</t>
  </si>
  <si>
    <t>Residual plant material such as stems from banana (Musa spp.) cultivation.</t>
  </si>
  <si>
    <t>see sheet Banana stems)</t>
  </si>
  <si>
    <t>F54</t>
  </si>
  <si>
    <t>Banana fruit</t>
  </si>
  <si>
    <t>BNFRUIT</t>
  </si>
  <si>
    <t>Fruit from banana trees (Musa spp.)</t>
  </si>
  <si>
    <t>https://www.feedipedia.org/node/11811</t>
  </si>
  <si>
    <t>F55</t>
  </si>
  <si>
    <t>Plantains and others</t>
  </si>
  <si>
    <t>F56</t>
  </si>
  <si>
    <t>Dates</t>
  </si>
  <si>
    <t>Date palm (Phoenix dactylifera), fruits</t>
  </si>
  <si>
    <t>https://www.feedipedia.org/node/12049</t>
  </si>
  <si>
    <t>F57</t>
  </si>
  <si>
    <t>Figs</t>
  </si>
  <si>
    <t>Fig (Ficus carica), leaves, fresh</t>
  </si>
  <si>
    <t>https://www.feedipedia.org/node/12086</t>
  </si>
  <si>
    <t>F58</t>
  </si>
  <si>
    <t>Mangoes, guavas, mangosteens</t>
  </si>
  <si>
    <t>Mango fruits, kernel, peels, juice</t>
  </si>
  <si>
    <t xml:space="preserve">see sheet Mango </t>
  </si>
  <si>
    <t>F59</t>
  </si>
  <si>
    <t>Papayas</t>
  </si>
  <si>
    <t>Papaya leaves, fruits fresh and dried</t>
  </si>
  <si>
    <t>see sheet Papaya</t>
  </si>
  <si>
    <t>F60</t>
  </si>
  <si>
    <t>Pomelos and grapefruits</t>
  </si>
  <si>
    <t>Grapefruit (Citrus paradisi), fruits, fresh</t>
  </si>
  <si>
    <t>https://www.feedipedia.org/node/12141</t>
  </si>
  <si>
    <t>F61</t>
  </si>
  <si>
    <t>Lemons and limes</t>
  </si>
  <si>
    <t xml:space="preserve">Lemon and lime fruits </t>
  </si>
  <si>
    <t>see sheet Lemon and Lime</t>
  </si>
  <si>
    <t>F62</t>
  </si>
  <si>
    <t xml:space="preserve">Citrus pulp, fresh </t>
  </si>
  <si>
    <t>https://www.feedipedia.org/node/12840</t>
  </si>
  <si>
    <t>F63</t>
  </si>
  <si>
    <t>Oranges</t>
  </si>
  <si>
    <t>Orange peels fresh and silage</t>
  </si>
  <si>
    <t>see sheet Orange</t>
  </si>
  <si>
    <t>F64</t>
  </si>
  <si>
    <t>Grapes</t>
  </si>
  <si>
    <t>Grapes leaves and branches , fresh</t>
  </si>
  <si>
    <t>see sheet Grape</t>
  </si>
  <si>
    <t>F65</t>
  </si>
  <si>
    <t>Apples</t>
  </si>
  <si>
    <t xml:space="preserve">Apples fresh </t>
  </si>
  <si>
    <t>https://www.feedipedia.org/node/22381</t>
  </si>
  <si>
    <t>less used for chicken</t>
  </si>
  <si>
    <t>F66</t>
  </si>
  <si>
    <t>Apple pomace, dehydrated</t>
  </si>
  <si>
    <t>By-products</t>
  </si>
  <si>
    <t>https://www.feedipedia.org/node/22380</t>
  </si>
  <si>
    <t>F67</t>
  </si>
  <si>
    <t>Pears</t>
  </si>
  <si>
    <t>F68</t>
  </si>
  <si>
    <t>Quinces</t>
  </si>
  <si>
    <t>F69</t>
  </si>
  <si>
    <t>Apricots</t>
  </si>
  <si>
    <t>F70</t>
  </si>
  <si>
    <t>Sour cherries</t>
  </si>
  <si>
    <t>F71</t>
  </si>
  <si>
    <t>Cherries</t>
  </si>
  <si>
    <t>F72</t>
  </si>
  <si>
    <t>Peaches and nectarines</t>
  </si>
  <si>
    <t>F73</t>
  </si>
  <si>
    <t>Plums and sloes</t>
  </si>
  <si>
    <t>F74</t>
  </si>
  <si>
    <t>Other stone fruits</t>
  </si>
  <si>
    <t>F75</t>
  </si>
  <si>
    <t>Locust beans (carobs)</t>
  </si>
  <si>
    <t>Carobs( Ceratonia siliqua) pod meal, seeds, dehydrated</t>
  </si>
  <si>
    <t>see sheet Carrob</t>
  </si>
  <si>
    <t>F76</t>
  </si>
  <si>
    <t>Soya beans</t>
  </si>
  <si>
    <t>SOY</t>
  </si>
  <si>
    <t>Oil crops</t>
  </si>
  <si>
    <t>Beans from soy (Glicyne max).</t>
  </si>
  <si>
    <t>https://www.feedipedia.org/node/12625</t>
  </si>
  <si>
    <t>F77</t>
  </si>
  <si>
    <t>Groundnuts, excluding shelled</t>
  </si>
  <si>
    <t>Peanuts, with shells</t>
  </si>
  <si>
    <t>https://www.feedipedia.org/node/12164</t>
  </si>
  <si>
    <t>F78</t>
  </si>
  <si>
    <t>Cottonseed</t>
  </si>
  <si>
    <t>01921.01</t>
  </si>
  <si>
    <t xml:space="preserve">Cotton seeds, whole </t>
  </si>
  <si>
    <t>https://www.feedipedia.org/node/12024</t>
  </si>
  <si>
    <t>https://www.feedtables.com/content/table-feed-profile?feed_pr_id=12356</t>
  </si>
  <si>
    <t>F79</t>
  </si>
  <si>
    <t>Linseed</t>
  </si>
  <si>
    <t>Linseeds, Includes raw and processed linseeds</t>
  </si>
  <si>
    <t>https://www.feedipedia.org/node/12102</t>
  </si>
  <si>
    <t>F80</t>
  </si>
  <si>
    <t>Mustard seed</t>
  </si>
  <si>
    <t>Mustard whole seed</t>
  </si>
  <si>
    <t>https://www.feedipedia.org/node/12361</t>
  </si>
  <si>
    <t xml:space="preserve">feedipedia under costruction </t>
  </si>
  <si>
    <t>F81</t>
  </si>
  <si>
    <t>Rapeseed or colza seed</t>
  </si>
  <si>
    <t>Rapeseeds, low erucic, low glucosinolates</t>
  </si>
  <si>
    <t>https://www.feedipedia.org/node/12504</t>
  </si>
  <si>
    <t>F82</t>
  </si>
  <si>
    <t>Sesame seed</t>
  </si>
  <si>
    <t xml:space="preserve">Sesam seed whole </t>
  </si>
  <si>
    <t>https://www.feedipedia.org/node/12579</t>
  </si>
  <si>
    <t>F83</t>
  </si>
  <si>
    <t>Sunflower seed</t>
  </si>
  <si>
    <t xml:space="preserve">Sunflower seeds, whole </t>
  </si>
  <si>
    <t>https://www.feedipedia.org/node/40</t>
  </si>
  <si>
    <t>https://www.feedtables.com/content/table-feed-profile?feed_pr_id=12345</t>
  </si>
  <si>
    <t>F84</t>
  </si>
  <si>
    <t>Safflower seed</t>
  </si>
  <si>
    <t>Safflower (Carthamus tinctorius), seeds</t>
  </si>
  <si>
    <t xml:space="preserve">All </t>
  </si>
  <si>
    <t>https://www.feedipedia.org/node/12554</t>
  </si>
  <si>
    <t>F85</t>
  </si>
  <si>
    <t>Castor oil seeds</t>
  </si>
  <si>
    <t>see sheet Castor oil</t>
  </si>
  <si>
    <t xml:space="preserve">used almost in India and Brazil </t>
  </si>
  <si>
    <t>F86</t>
  </si>
  <si>
    <t>Poppy seed</t>
  </si>
  <si>
    <t>Poppy (Papaver somniferum), seeds</t>
  </si>
  <si>
    <t>https://www.feedipedia.org/node/12465</t>
  </si>
  <si>
    <t>not recent literature on the use as feed</t>
  </si>
  <si>
    <t>F87</t>
  </si>
  <si>
    <t>Melonseed</t>
  </si>
  <si>
    <t>Melon seed</t>
  </si>
  <si>
    <t>https://www.feedipedia.org/node/12811</t>
  </si>
  <si>
    <t>F88</t>
  </si>
  <si>
    <t>Hempseed</t>
  </si>
  <si>
    <t>https://www.feedipedia.org/node/11696</t>
  </si>
  <si>
    <t>F89</t>
  </si>
  <si>
    <t>Other oil seeds, n.e.</t>
  </si>
  <si>
    <t xml:space="preserve">other oilseeds, oleaginous fruits and nuts that are not identified separately because of their minor relevance at the international level. </t>
  </si>
  <si>
    <t>average of other Oil crops</t>
  </si>
  <si>
    <t>F90</t>
  </si>
  <si>
    <t>Olives</t>
  </si>
  <si>
    <t>F91</t>
  </si>
  <si>
    <t>Coconuts, in shell</t>
  </si>
  <si>
    <t>F92</t>
  </si>
  <si>
    <t>Oil palm fruit</t>
  </si>
  <si>
    <t>F93</t>
  </si>
  <si>
    <t>Palm kernels</t>
  </si>
  <si>
    <t>Babassu (Attalea speciosa), oil meal, partially and decorticated, expeller extraction and solvent</t>
  </si>
  <si>
    <t>see sheet Palm kernels</t>
  </si>
  <si>
    <t>F94</t>
  </si>
  <si>
    <t>Copra</t>
  </si>
  <si>
    <t>Coconut, copra, fresh</t>
  </si>
  <si>
    <t>https://www.feedipedia.org/node/11996</t>
  </si>
  <si>
    <t>F95</t>
  </si>
  <si>
    <t>Potatoes</t>
  </si>
  <si>
    <t>Potato, tuber, raw</t>
  </si>
  <si>
    <t>https://www.feedipedia.org/node/12472</t>
  </si>
  <si>
    <t>F96</t>
  </si>
  <si>
    <t>Cassava, fresh</t>
  </si>
  <si>
    <t>CASSAVA</t>
  </si>
  <si>
    <t>Cassava tubers, fresh</t>
  </si>
  <si>
    <t>https://www.feedipedia.org/node/11946</t>
  </si>
  <si>
    <t>F97</t>
  </si>
  <si>
    <t>Cassava, dry</t>
  </si>
  <si>
    <t>Cassava tubers, dehydrated</t>
  </si>
  <si>
    <t>https://www.feedipedia.org/node/12798</t>
  </si>
  <si>
    <t>F98</t>
  </si>
  <si>
    <t>Sweet potatoes</t>
  </si>
  <si>
    <t>Sweet potato tubers, fresh</t>
  </si>
  <si>
    <t>https://www.feedipedia.org/node/12681</t>
  </si>
  <si>
    <t>F99</t>
  </si>
  <si>
    <t>Yams</t>
  </si>
  <si>
    <t>Yams (Dioscorea rotundata, D. esculenta, D.cayenensis, D.alata), tuber, fresh</t>
  </si>
  <si>
    <t>Monogastic</t>
  </si>
  <si>
    <t>see sheet Yams</t>
  </si>
  <si>
    <t>F100</t>
  </si>
  <si>
    <t>Taro</t>
  </si>
  <si>
    <t>Taro (Colocasia esculenta), tuber fresh,dryed peeled</t>
  </si>
  <si>
    <t>see sheet Taro</t>
  </si>
  <si>
    <t>F101</t>
  </si>
  <si>
    <t>Yautia</t>
  </si>
  <si>
    <t xml:space="preserve">Yautia or Malanga (Xanthosoma sagittifolium) fresh, peelings and tuber </t>
  </si>
  <si>
    <t>see sheet Yautia</t>
  </si>
  <si>
    <t>F102</t>
  </si>
  <si>
    <t>Edible roots and tubers with high starch or inulin content, n.e., fresh</t>
  </si>
  <si>
    <t>F103</t>
  </si>
  <si>
    <t>Edible roots and tubers with high starch or inulin content, n.e., dried</t>
  </si>
  <si>
    <t>F104</t>
  </si>
  <si>
    <t>Coffee, green</t>
  </si>
  <si>
    <t>Coffee hulls</t>
  </si>
  <si>
    <t>https://www.feedipedia.org/node/11612</t>
  </si>
  <si>
    <t>F105</t>
  </si>
  <si>
    <t>Mate leaves</t>
  </si>
  <si>
    <t>LEAVES</t>
  </si>
  <si>
    <t>F106</t>
  </si>
  <si>
    <t>Cloves (whole stems), raw</t>
  </si>
  <si>
    <t>F107</t>
  </si>
  <si>
    <t>Hop cones</t>
  </si>
  <si>
    <t>F108</t>
  </si>
  <si>
    <t>Chicory roots</t>
  </si>
  <si>
    <t>F109</t>
  </si>
  <si>
    <t>Beans, straw</t>
  </si>
  <si>
    <t>PSTRAW</t>
  </si>
  <si>
    <t>Fibrous residual plant material such as straw, from leguminous plants cultivation (Phaseolus spp., Vigna spp.).</t>
  </si>
  <si>
    <t>https://www.feedipedia.org/node/12006</t>
  </si>
  <si>
    <t>F110</t>
  </si>
  <si>
    <t>Beans, dry</t>
  </si>
  <si>
    <t>Leguminous beans (Phaseolus spp., Vigna spp.)</t>
  </si>
  <si>
    <t>https://www.feedipedia.org/node/12005</t>
  </si>
  <si>
    <t>https://www.feedtables.com/content/common-bean</t>
  </si>
  <si>
    <t>F111</t>
  </si>
  <si>
    <t>Broad and horse beans, straw</t>
  </si>
  <si>
    <t>Fibrous residual plant material such as straw, from leguminous plants cultivation (Vicia faba).</t>
  </si>
  <si>
    <t>https://www.feedipedia.org/node/19703</t>
  </si>
  <si>
    <t>F112</t>
  </si>
  <si>
    <t>Broad beans and horse beans, dry</t>
  </si>
  <si>
    <t>Leguminous beans (Vicia faba)</t>
  </si>
  <si>
    <t>https://www.feedipedia.org/node/19701</t>
  </si>
  <si>
    <t>F113</t>
  </si>
  <si>
    <t>Chick peas, straw</t>
  </si>
  <si>
    <t>Fibrous residual plant material such as straw, from leguminous plants cultivation (Cicer arietinum).</t>
  </si>
  <si>
    <t>https://www.feedipedia.org/node/11976</t>
  </si>
  <si>
    <t>F114</t>
  </si>
  <si>
    <t>Chick peas, dry</t>
  </si>
  <si>
    <t>Leguminous beans (Cicer arietinum)</t>
  </si>
  <si>
    <t>https://www.feedipedia.org/node/17358</t>
  </si>
  <si>
    <t>F115</t>
  </si>
  <si>
    <t>Lentils, straw</t>
  </si>
  <si>
    <t>Fibrous residual plant material such as straw, from leguminous plants cultivation (Lens spp.).</t>
  </si>
  <si>
    <t>https://www.feedipedia.org/node/12250</t>
  </si>
  <si>
    <t>F116</t>
  </si>
  <si>
    <t>Lentils, dry</t>
  </si>
  <si>
    <t>Leguminous beans (Lens spp.)</t>
  </si>
  <si>
    <t>https://www.feedipedia.org/node/284</t>
  </si>
  <si>
    <t>https://www.feedtables.com/content/lentils</t>
  </si>
  <si>
    <t>F117</t>
  </si>
  <si>
    <t>Peas, straw</t>
  </si>
  <si>
    <t>Fibrous residual plant material such as straw, from leguminous plants cultivation (Pisum sativum).</t>
  </si>
  <si>
    <t>https://www.feedipedia.org/node/12929</t>
  </si>
  <si>
    <t>F118</t>
  </si>
  <si>
    <t>Peas, dry</t>
  </si>
  <si>
    <t>Leguminous beans (Pisum sativum)</t>
  </si>
  <si>
    <t>F119</t>
  </si>
  <si>
    <t>Cow peas, straw</t>
  </si>
  <si>
    <t>Fibrous residual plant material such as straw, from leguminous plants cultivation (Vigna unguiculata).</t>
  </si>
  <si>
    <t>https://www.feedipedia.org/node/17446</t>
  </si>
  <si>
    <t>F120</t>
  </si>
  <si>
    <t>Cow peas, dry</t>
  </si>
  <si>
    <t>Leguminous beans (Vigna unguiculata)</t>
  </si>
  <si>
    <t>https://www.feedipedia.org/node/11572</t>
  </si>
  <si>
    <t>F121</t>
  </si>
  <si>
    <t>Pigeon peas, straw</t>
  </si>
  <si>
    <t>Fibrous residual plant material such as straw, from leguminous plants cultivation (Cajanus cajan).</t>
  </si>
  <si>
    <t>see sheet Pigeon peas straw)</t>
  </si>
  <si>
    <t>F122</t>
  </si>
  <si>
    <t>Pigeon peas, dry</t>
  </si>
  <si>
    <t>Leguminous beans (Cajanus cajan)</t>
  </si>
  <si>
    <t>https://www.feedipedia.org/node/329</t>
  </si>
  <si>
    <t>F123</t>
  </si>
  <si>
    <t>Bambara beans, straw</t>
  </si>
  <si>
    <t>Fibrous residual plant material such as straw, from leguminous plants cultivation (Vigna subterranea) .</t>
  </si>
  <si>
    <t>https://www.feedipedia.org/node/531</t>
  </si>
  <si>
    <t>F124</t>
  </si>
  <si>
    <t>Bambara beans, dry</t>
  </si>
  <si>
    <t>Leguminous beans (Vigna subterranea)</t>
  </si>
  <si>
    <t>https://www.feedipedia.org/node/530</t>
  </si>
  <si>
    <t>F125</t>
  </si>
  <si>
    <t>Vetches, straw</t>
  </si>
  <si>
    <t>Fibrous residual plant material such as straw, from leguminous plants cultivation (Vicia sativa).</t>
  </si>
  <si>
    <t>https://www.feedipedia.org/node/16591</t>
  </si>
  <si>
    <t>F126</t>
  </si>
  <si>
    <t>Vetches</t>
  </si>
  <si>
    <t>Leguminous beans (Vicia sativa)</t>
  </si>
  <si>
    <t>https://www.feedipedia.org/node/12014</t>
  </si>
  <si>
    <t>https://www.feedtables.com/content/common-vetch</t>
  </si>
  <si>
    <t>F127</t>
  </si>
  <si>
    <t>Lupins, straw</t>
  </si>
  <si>
    <t>Fibrous residual plant material such as straw, from leguminous plants cultivation (Lupinus spp.).</t>
  </si>
  <si>
    <t>https://www.feedipedia.org/node/24503</t>
  </si>
  <si>
    <t>F128</t>
  </si>
  <si>
    <t>Lupins</t>
  </si>
  <si>
    <t>Leguminous beans (Lupinus spp.)</t>
  </si>
  <si>
    <t>see sheet Lupins)</t>
  </si>
  <si>
    <t>F129</t>
  </si>
  <si>
    <t>Other pulses n.e.c., straw</t>
  </si>
  <si>
    <t>Fibrous residual plant material such as straw, from leguminous plants cultivation (other pulses).</t>
  </si>
  <si>
    <t>Calculates as average of values for known pulses straw</t>
  </si>
  <si>
    <t>F130</t>
  </si>
  <si>
    <t>Other pulses n.e.c.</t>
  </si>
  <si>
    <t>Other leguminous beans.</t>
  </si>
  <si>
    <t>Calculates as average of values for known pulses</t>
  </si>
  <si>
    <t>F131</t>
  </si>
  <si>
    <t>Sugar beet</t>
  </si>
  <si>
    <t>Sugar beet pulp, dehydrated</t>
  </si>
  <si>
    <t>https://www.feedipedia.org/node/24378</t>
  </si>
  <si>
    <t>F132</t>
  </si>
  <si>
    <t>Sugar cane, tops</t>
  </si>
  <si>
    <t>TOPS</t>
  </si>
  <si>
    <t>Top portion of sugarcane (Saccharum spp.) plants, consisting of green leaves, bundle sheath and variable proportions of immature cane.</t>
  </si>
  <si>
    <t>http://www.feedipedia.org/node/558</t>
  </si>
  <si>
    <t>F133</t>
  </si>
  <si>
    <t>Sugar cane</t>
  </si>
  <si>
    <t>Sugar cane (Saccharum officinarum); Sugarcane forage, whole plant</t>
  </si>
  <si>
    <t xml:space="preserve">https://www.feedipedia.org/node/14464 </t>
  </si>
  <si>
    <t>F134</t>
  </si>
  <si>
    <t>Other sugar crops n.e.</t>
  </si>
  <si>
    <t>F135</t>
  </si>
  <si>
    <t>Fodder silage cerelas</t>
  </si>
  <si>
    <t>FDDRSIL</t>
  </si>
  <si>
    <t>Silage from whole barley (Hordeum vulgare), oat (Avena sativa), buckwheat (Fagopyrum esculentum), fonio (Digitaria spp.) plants.</t>
  </si>
  <si>
    <t>F136</t>
  </si>
  <si>
    <t>Maize for forage and silage</t>
  </si>
  <si>
    <t>Hay or silage from whole maize (Zea mays) plants.</t>
  </si>
  <si>
    <t>see sheet Fodder silage maize)</t>
  </si>
  <si>
    <t>F137</t>
  </si>
  <si>
    <t>Alfalfa for forage and silage</t>
  </si>
  <si>
    <t>Hay or silage from alfalfa (Medicago sativa).</t>
  </si>
  <si>
    <t>https://www.feedipedia.org/node/11746</t>
  </si>
  <si>
    <t>F138</t>
  </si>
  <si>
    <t>Cereal straw, husks, unprepared, ground, pressed, or in the form of pellets</t>
  </si>
  <si>
    <t xml:space="preserve"> Cereal Straws (Wheat, Barley, Oat, Triticale, Rye, Tef)</t>
  </si>
  <si>
    <t>see sheet Cereal straw</t>
  </si>
  <si>
    <t>This is redundant, as we have data on crop residues from single cereals</t>
  </si>
  <si>
    <t>F139</t>
  </si>
  <si>
    <t>Sorghum, for forage</t>
  </si>
  <si>
    <t>F140</t>
  </si>
  <si>
    <t>Rye grass, for forage</t>
  </si>
  <si>
    <t>Rye, aerial part, fresh</t>
  </si>
  <si>
    <t>https://www.feedipedia.org/node/12543</t>
  </si>
  <si>
    <t>F141</t>
  </si>
  <si>
    <t>Clover, for forage</t>
  </si>
  <si>
    <t>Clover (Trifulium spp),fresh</t>
  </si>
  <si>
    <t>see sheet Clover</t>
  </si>
  <si>
    <t>F142</t>
  </si>
  <si>
    <t>Cabbage, for forage</t>
  </si>
  <si>
    <t>F143</t>
  </si>
  <si>
    <t>Turnips, for forage</t>
  </si>
  <si>
    <t xml:space="preserve">Rape forage, silage (Brassica sp) </t>
  </si>
  <si>
    <t>https://www.feedipedia.org/node/15686</t>
  </si>
  <si>
    <t>F144</t>
  </si>
  <si>
    <t>Beets for fodder</t>
  </si>
  <si>
    <t>FDDRBEET</t>
  </si>
  <si>
    <t>Fodder beet (Beta vulgaris), also known as mangel beet or field beet, used as animal feed.</t>
  </si>
  <si>
    <t>y</t>
  </si>
  <si>
    <t>httphttps://www.feedipedia.org/node/11842</t>
  </si>
  <si>
    <t>F145</t>
  </si>
  <si>
    <t>Carrots, for forage</t>
  </si>
  <si>
    <t>F146</t>
  </si>
  <si>
    <t>Swedes, for forage</t>
  </si>
  <si>
    <t>F147</t>
  </si>
  <si>
    <t>Hay, from grasses</t>
  </si>
  <si>
    <t>GRASSH</t>
  </si>
  <si>
    <t>Hay (grass is cut, dried and stored) or silage (grass is cut and fermented) from any natural or cultivated grass.</t>
  </si>
  <si>
    <t>see sheet Hay grass non-leguminose</t>
  </si>
  <si>
    <t>F148</t>
  </si>
  <si>
    <t>Hay, from grasses, imported</t>
  </si>
  <si>
    <t>GRASSH2</t>
  </si>
  <si>
    <t>Hay from adjacent areas.</t>
  </si>
  <si>
    <t>F149</t>
  </si>
  <si>
    <t>Hay for forage, from legumes</t>
  </si>
  <si>
    <t>GRASSLEGH</t>
  </si>
  <si>
    <t>Hay or silage produced from a mixture of any type of leguminous plants (Fabacae).</t>
  </si>
  <si>
    <t>see sheet Hay grass leguminose</t>
  </si>
  <si>
    <t>F150</t>
  </si>
  <si>
    <t>Hay for forage, from other crops n.e.c.</t>
  </si>
  <si>
    <t>Hay from unspecified plants.</t>
  </si>
  <si>
    <t>average of other Hay items</t>
  </si>
  <si>
    <t>F151</t>
  </si>
  <si>
    <t>Other grasses, for forage</t>
  </si>
  <si>
    <t>Fresh grass for forage ( Agrostis spp,Sorghum almum,Pennisetum purpureum …)</t>
  </si>
  <si>
    <t xml:space="preserve">Ruminans </t>
  </si>
  <si>
    <t>see sheet Other grass</t>
  </si>
  <si>
    <t>F152</t>
  </si>
  <si>
    <t>Other legumes, for forage</t>
  </si>
  <si>
    <t>GRASSLEGF</t>
  </si>
  <si>
    <t>see sheet Other legumes</t>
  </si>
  <si>
    <t>F153</t>
  </si>
  <si>
    <t>Mixed grass and legumes, for forage</t>
  </si>
  <si>
    <t>Fresh mixture of any type of grass and leguminous plants that is fed to the animals.</t>
  </si>
  <si>
    <t>F154</t>
  </si>
  <si>
    <t>Other oilseeds, for forage</t>
  </si>
  <si>
    <t>F155</t>
  </si>
  <si>
    <t>Other forage crops, n.e.c.</t>
  </si>
  <si>
    <t>Any other crop of the vegetable group that is cultivated for fodder.</t>
  </si>
  <si>
    <t>average from turnips, beet and carrots forage</t>
  </si>
  <si>
    <t>F156</t>
  </si>
  <si>
    <t>Other forage products, n.e.c.</t>
  </si>
  <si>
    <t>aerage from other Fodder crops</t>
  </si>
  <si>
    <t>F157</t>
  </si>
  <si>
    <t>Seed cotton, unginned</t>
  </si>
  <si>
    <t>F158</t>
  </si>
  <si>
    <t>True hemp, raw or retted</t>
  </si>
  <si>
    <t>F159</t>
  </si>
  <si>
    <t>Vegetable products, fresh or dry nes</t>
  </si>
  <si>
    <t>F160</t>
  </si>
  <si>
    <t>Raw milk of cattle</t>
  </si>
  <si>
    <t>Animal products</t>
  </si>
  <si>
    <t>F161</t>
  </si>
  <si>
    <t>Raw milk of buffalo</t>
  </si>
  <si>
    <t>F162</t>
  </si>
  <si>
    <t>Raw milk of sheep</t>
  </si>
  <si>
    <t>F163</t>
  </si>
  <si>
    <t>Raw milk of goats</t>
  </si>
  <si>
    <t>F164</t>
  </si>
  <si>
    <t>Raw milk of camel</t>
  </si>
  <si>
    <t>F165</t>
  </si>
  <si>
    <t>Hen eggs in shell, fresh</t>
  </si>
  <si>
    <t>F166</t>
  </si>
  <si>
    <t>Eggs from other birds in shell, fresh, n.e.</t>
  </si>
  <si>
    <t>F167</t>
  </si>
  <si>
    <t>Natural honey</t>
  </si>
  <si>
    <t>F168</t>
  </si>
  <si>
    <t>Fine hair, n.e.</t>
  </si>
  <si>
    <t>F169</t>
  </si>
  <si>
    <t>Hides, wet-salted of horses</t>
  </si>
  <si>
    <t>F170</t>
  </si>
  <si>
    <t>Other raw skins of other animals, preserved</t>
  </si>
  <si>
    <t>F171</t>
  </si>
  <si>
    <t>Meat of cattle with the bone, fresh or chilled</t>
  </si>
  <si>
    <t>F172</t>
  </si>
  <si>
    <t>Meat of goat, fresh or chilled</t>
  </si>
  <si>
    <t>F173</t>
  </si>
  <si>
    <t>Meat of camels, fresh or chilled</t>
  </si>
  <si>
    <t>F174</t>
  </si>
  <si>
    <t>Horse meat, fresh or chilled</t>
  </si>
  <si>
    <t>F175</t>
  </si>
  <si>
    <t>Meat of asses, fresh or chilled</t>
  </si>
  <si>
    <t>F176</t>
  </si>
  <si>
    <t>Meat of mules, fresh or chilled</t>
  </si>
  <si>
    <t>F177</t>
  </si>
  <si>
    <t>Meat of chickens, fresh or chilled</t>
  </si>
  <si>
    <t>F178</t>
  </si>
  <si>
    <t>Edible offal of cattle, fresh, chilled or frozen</t>
  </si>
  <si>
    <t>F179</t>
  </si>
  <si>
    <t>Edible offal of pigs, fresh, chilled or frozen</t>
  </si>
  <si>
    <t>F180</t>
  </si>
  <si>
    <t>Edible offal of sheep, fresh, chilled or frozen</t>
  </si>
  <si>
    <t>F181</t>
  </si>
  <si>
    <t>Edible offal of goat, fresh, chilled or frozen</t>
  </si>
  <si>
    <t>F182</t>
  </si>
  <si>
    <t>Edible offals of horses and other equines,  fresh, chilled or frozen</t>
  </si>
  <si>
    <t>F183</t>
  </si>
  <si>
    <t>Edible offals and liver of chickens and guinea fowl, fresh, chilled or frozen</t>
  </si>
  <si>
    <t>Poultry offal meal</t>
  </si>
  <si>
    <t>https://www.feedipedia.org/node/12474</t>
  </si>
  <si>
    <t>F184</t>
  </si>
  <si>
    <t>Edible offals and liver of ducks, fresh, chilled or frozen</t>
  </si>
  <si>
    <t>F185</t>
  </si>
  <si>
    <t>Offals n.e.c. (excluding mammals),fresh, chilled or frozen</t>
  </si>
  <si>
    <t>F186</t>
  </si>
  <si>
    <t>Meat meal</t>
  </si>
  <si>
    <t xml:space="preserve">Meat and bone meal, high and low fat </t>
  </si>
  <si>
    <t>see sheet Meat meal</t>
  </si>
  <si>
    <t>F187</t>
  </si>
  <si>
    <t>Flours, meals and pellets, inedible, of fish, crustaceans, molluscs or other aquatic invertebrates</t>
  </si>
  <si>
    <t>FISHMEAL</t>
  </si>
  <si>
    <t>By-products from the fish industries.</t>
  </si>
  <si>
    <t>see sheet Fish meal</t>
  </si>
  <si>
    <t>F188</t>
  </si>
  <si>
    <t>Flour, meal, powder, flakes, granules and pellets of potatoes</t>
  </si>
  <si>
    <t>Steamed potato peels (liquid potato feed)</t>
  </si>
  <si>
    <t>https://www.feedipedia.org/node/26046</t>
  </si>
  <si>
    <t>F189</t>
  </si>
  <si>
    <t>Sweet Corn, Prepared or Preserved</t>
  </si>
  <si>
    <t>Prepared or preserved other than by vinegar or acetic acid; not frozen</t>
  </si>
  <si>
    <t>F190</t>
  </si>
  <si>
    <t>Figs, Dried</t>
  </si>
  <si>
    <t>F191</t>
  </si>
  <si>
    <t>Groundnuts, shelled</t>
  </si>
  <si>
    <t>Peanuts, without shells</t>
  </si>
  <si>
    <t>https://www.feedipedia.org/node/12165</t>
  </si>
  <si>
    <t>F192</t>
  </si>
  <si>
    <t>Grapefruit juice</t>
  </si>
  <si>
    <t>F193</t>
  </si>
  <si>
    <t>Mango Pulp</t>
  </si>
  <si>
    <t>Mango (Mangifera indica), pulp, fresh</t>
  </si>
  <si>
    <t>https://www.feedipedia.org/node/12308</t>
  </si>
  <si>
    <t>F194</t>
  </si>
  <si>
    <t>Fat of pigs</t>
  </si>
  <si>
    <t>F195</t>
  </si>
  <si>
    <t>Pig, Butcher Fat</t>
  </si>
  <si>
    <t>F196</t>
  </si>
  <si>
    <t>Cattle fat, unrendered</t>
  </si>
  <si>
    <t>F197</t>
  </si>
  <si>
    <t>Goat fat, unrendered</t>
  </si>
  <si>
    <t>F198</t>
  </si>
  <si>
    <t>Tallow</t>
  </si>
  <si>
    <t>F199</t>
  </si>
  <si>
    <t>Animal Oils and Fats nes</t>
  </si>
  <si>
    <t>F200</t>
  </si>
  <si>
    <t>Soya bean oil</t>
  </si>
  <si>
    <t>Oil extracted from soybeans (Glicyne max).</t>
  </si>
  <si>
    <t>https://www.feedtables.com/content/soybean-oil</t>
  </si>
  <si>
    <t>https://www.feedtables.com/content/bananas-immature-dried</t>
  </si>
  <si>
    <t>F201</t>
  </si>
  <si>
    <t>Sunflower-seed oil, crude</t>
  </si>
  <si>
    <t xml:space="preserve">Sunflower oil </t>
  </si>
  <si>
    <t>https://www.feedtables.com/content/table-feed-profile?feed_pr_id=12394</t>
  </si>
  <si>
    <t>F202</t>
  </si>
  <si>
    <t>Safflower-seed oil, crude</t>
  </si>
  <si>
    <t>F203</t>
  </si>
  <si>
    <t>Rapeseed or canola oil, crude</t>
  </si>
  <si>
    <t>F204</t>
  </si>
  <si>
    <t>Palm oil</t>
  </si>
  <si>
    <t>Babbassu (Attalea speciosa) oil meal partially and decorticated , expellent and solvent extraction</t>
  </si>
  <si>
    <t>https://www.feedtables.com/content/table-feed-profile?feed_pr_id=12403</t>
  </si>
  <si>
    <t>F205</t>
  </si>
  <si>
    <t>Oil of olive residues</t>
  </si>
  <si>
    <t>Oil crop cakes</t>
  </si>
  <si>
    <t>Olive oil cake, crude and exhausted with and whiout stones</t>
  </si>
  <si>
    <t>see sheet Olive oil cake</t>
  </si>
  <si>
    <t>F206</t>
  </si>
  <si>
    <t>Oil of Sesame Seed</t>
  </si>
  <si>
    <t>F207</t>
  </si>
  <si>
    <t>Other oil of Vegetable Origin, crude n.e.</t>
  </si>
  <si>
    <t>F208</t>
  </si>
  <si>
    <t>Cake of Rice Bran</t>
  </si>
  <si>
    <t>Rice bran, defatted (Fibre: &lt;11%, 11-20%,&gt;20%)</t>
  </si>
  <si>
    <t>see sheet Cake of Bran Rice</t>
  </si>
  <si>
    <t>F209</t>
  </si>
  <si>
    <t>Cake of Maize</t>
  </si>
  <si>
    <t>see sheet Maize germ meal</t>
  </si>
  <si>
    <t>F210</t>
  </si>
  <si>
    <t>Cake of Soya beans</t>
  </si>
  <si>
    <t>MLSOY</t>
  </si>
  <si>
    <t>By-product from soy (Glycine max) oil production, commonly referred to as ‚Äòsoy cakes‚Äô or ‚Äòsoybean meal‚Äô.</t>
  </si>
  <si>
    <t>see sheet Soybean meal)</t>
  </si>
  <si>
    <t>F211</t>
  </si>
  <si>
    <t>Cake of Groundnuts</t>
  </si>
  <si>
    <t>MLOILSDS</t>
  </si>
  <si>
    <t>By-product (cakes, meals) from Groundnuts oil production.</t>
  </si>
  <si>
    <t>see sheet Groundnut meal)</t>
  </si>
  <si>
    <t>F212</t>
  </si>
  <si>
    <t>Cake of Copra</t>
  </si>
  <si>
    <t>By-product (cakes, meals) from Copra oil production.</t>
  </si>
  <si>
    <t>see sheet Copra meal)</t>
  </si>
  <si>
    <t>F213</t>
  </si>
  <si>
    <t>Cake of Palm kernel</t>
  </si>
  <si>
    <t>PKEXP</t>
  </si>
  <si>
    <t>By-products from the production of kernel palm oil (Elaeis guineensis), commonly referred to as 'kernel cake'.</t>
  </si>
  <si>
    <t>see sheet Palm kernel meal)</t>
  </si>
  <si>
    <t>F214</t>
  </si>
  <si>
    <t>Cake of Sunflower seed</t>
  </si>
  <si>
    <t>By-product (cakes, meals) from Sunflower oil production.</t>
  </si>
  <si>
    <t>see sheet Sunflower meal)</t>
  </si>
  <si>
    <t>F215</t>
  </si>
  <si>
    <t>Cake of Rapeseed</t>
  </si>
  <si>
    <t>By-product from rape (Brassica napus) oil production, commonly referred to as ‚Äòrape cakes‚Äô or ‚Äòrapeseed meal‚Äô.</t>
  </si>
  <si>
    <t>see sheet Rapeseed meal)</t>
  </si>
  <si>
    <t>F216</t>
  </si>
  <si>
    <t>Olive Residues</t>
  </si>
  <si>
    <t xml:space="preserve">Olive leaves, braches fresh and dry </t>
  </si>
  <si>
    <t>see sheet Olive residues</t>
  </si>
  <si>
    <t>F217</t>
  </si>
  <si>
    <t>Cake of Safflowerseed</t>
  </si>
  <si>
    <t>By-product (cakes, meals) from Safflowerseed oil production.</t>
  </si>
  <si>
    <t>https://www.feedipedia.org/node/12552</t>
  </si>
  <si>
    <t>F218</t>
  </si>
  <si>
    <t>Cake of Sesame seed</t>
  </si>
  <si>
    <t>By-product (cakes, meals) from Sesame oil production.</t>
  </si>
  <si>
    <t>https://www.feedipedia.org/node/12577</t>
  </si>
  <si>
    <t>F219</t>
  </si>
  <si>
    <t>Cake of Mustard seed</t>
  </si>
  <si>
    <t>By-product (cakes, meals) from Mustard oil production.</t>
  </si>
  <si>
    <t>https://www.feedtables.com/content/mustard-bran</t>
  </si>
  <si>
    <t>F220</t>
  </si>
  <si>
    <t>Cake of Kapok</t>
  </si>
  <si>
    <t>https://www.feedipedia.org/node/12220</t>
  </si>
  <si>
    <t>F221</t>
  </si>
  <si>
    <t>Cake of Cottonseed</t>
  </si>
  <si>
    <t>MLCTTN</t>
  </si>
  <si>
    <t>By-product from cottonseed (Gossypium spp.) oil production, commonly referred to as ‚Äòcottonseed meal‚Äô.</t>
  </si>
  <si>
    <t>see sheet Cottonseed meal)</t>
  </si>
  <si>
    <t>F222</t>
  </si>
  <si>
    <t>Cake of Linseed</t>
  </si>
  <si>
    <t>By-product (cakes, meals) from Linseed oil production.</t>
  </si>
  <si>
    <t>see sheet Linseed meal)</t>
  </si>
  <si>
    <t>F223</t>
  </si>
  <si>
    <t>Cake of Hempseed</t>
  </si>
  <si>
    <t>By-product (cakes, meals) from Hempseed oil production.</t>
  </si>
  <si>
    <t>see sheet Hempseed meal)</t>
  </si>
  <si>
    <t>F224</t>
  </si>
  <si>
    <t>Cake of Poppy seed</t>
  </si>
  <si>
    <t>Poppy (Papaver somniferum), oil meal, mechanical and solvent extraction</t>
  </si>
  <si>
    <t>see cheet Poppy oil meal</t>
  </si>
  <si>
    <t>F225</t>
  </si>
  <si>
    <t>Cake of Oilseeds nes</t>
  </si>
  <si>
    <t>By-product (cakes, meals) from other oilseed production.</t>
  </si>
  <si>
    <t>Calculates as average of values for known oil seed meals</t>
  </si>
  <si>
    <t>F226</t>
  </si>
  <si>
    <t>Flours and meals of oil seeds or oleaginous fruits, except those of mustard</t>
  </si>
  <si>
    <t>F227</t>
  </si>
  <si>
    <t>Skim Milk of Cows</t>
  </si>
  <si>
    <t>F228</t>
  </si>
  <si>
    <t>Skim Milk of Buffalo</t>
  </si>
  <si>
    <t>F229</t>
  </si>
  <si>
    <t>Skim Sheep Milk</t>
  </si>
  <si>
    <t>F230</t>
  </si>
  <si>
    <t>Whey, Fresh</t>
  </si>
  <si>
    <t>F231</t>
  </si>
  <si>
    <t>Whey, dry</t>
  </si>
  <si>
    <t>see sheet Whey dry</t>
  </si>
  <si>
    <t>F232</t>
  </si>
  <si>
    <t>Whey, Condensed</t>
  </si>
  <si>
    <t xml:space="preserve">Whey, permeate </t>
  </si>
  <si>
    <t>https://www.feedtables.com/content/table-feed-profile?feed_pr_id=12552</t>
  </si>
  <si>
    <t xml:space="preserve">Whey permeated == condensed? </t>
  </si>
  <si>
    <t>F233</t>
  </si>
  <si>
    <t>Whole milk powder</t>
  </si>
  <si>
    <t>Milk powder, whole</t>
  </si>
  <si>
    <t xml:space="preserve">Trade </t>
  </si>
  <si>
    <t>https://www.feedtables.com/content/milk-powder-whole</t>
  </si>
  <si>
    <t>F234</t>
  </si>
  <si>
    <t>Skim milk and whey powder</t>
  </si>
  <si>
    <t>Milk powder, skimmed</t>
  </si>
  <si>
    <t>https://www.feedtables.com/content/milk-powder-skimmed</t>
  </si>
  <si>
    <t>F235</t>
  </si>
  <si>
    <t>Whole Milk, Evaporated</t>
  </si>
  <si>
    <t>F236</t>
  </si>
  <si>
    <t>Whole Milk, Condensed</t>
  </si>
  <si>
    <t>F237</t>
  </si>
  <si>
    <t>Skim Milk, Condensed</t>
  </si>
  <si>
    <t>F238</t>
  </si>
  <si>
    <t>Buttermilk, curdled and acidified milk</t>
  </si>
  <si>
    <t>F239</t>
  </si>
  <si>
    <t>Buttermilk, dry</t>
  </si>
  <si>
    <t>F240</t>
  </si>
  <si>
    <t>Butter of Cow Milk</t>
  </si>
  <si>
    <t>F241</t>
  </si>
  <si>
    <t>Ghee from Cow Milk</t>
  </si>
  <si>
    <t>F242</t>
  </si>
  <si>
    <t>Cheese from Skimmed Cow Milk</t>
  </si>
  <si>
    <t>F243</t>
  </si>
  <si>
    <t>Whey Cheese</t>
  </si>
  <si>
    <t>F244</t>
  </si>
  <si>
    <t>Casein</t>
  </si>
  <si>
    <t>F245</t>
  </si>
  <si>
    <t>Dairy products n.e.</t>
  </si>
  <si>
    <t>F246</t>
  </si>
  <si>
    <t>Wheat and meslin flour</t>
  </si>
  <si>
    <t>F247</t>
  </si>
  <si>
    <t>Flour of Rice</t>
  </si>
  <si>
    <t>F248</t>
  </si>
  <si>
    <t>Barley Flour and Grits</t>
  </si>
  <si>
    <t>F249</t>
  </si>
  <si>
    <t>Flour of Maize</t>
  </si>
  <si>
    <t>F250</t>
  </si>
  <si>
    <t>Flour of Rye</t>
  </si>
  <si>
    <t>F251</t>
  </si>
  <si>
    <t>Flour of Millet</t>
  </si>
  <si>
    <t>F252</t>
  </si>
  <si>
    <t>Flour of Sorghum</t>
  </si>
  <si>
    <t>F253</t>
  </si>
  <si>
    <t>Flour of Mixed Grain</t>
  </si>
  <si>
    <t>F254</t>
  </si>
  <si>
    <t>Flour of Cereals nes</t>
  </si>
  <si>
    <t>F255</t>
  </si>
  <si>
    <t>Germ of Wheat</t>
  </si>
  <si>
    <t>https://www.feedipedia.org/node/12753</t>
  </si>
  <si>
    <t>F256</t>
  </si>
  <si>
    <t>Bulgur</t>
  </si>
  <si>
    <t>F257</t>
  </si>
  <si>
    <t>Breakfast Cereals</t>
  </si>
  <si>
    <t>F258</t>
  </si>
  <si>
    <t>Pot Barley</t>
  </si>
  <si>
    <t>F259</t>
  </si>
  <si>
    <t>Barley, Pearled</t>
  </si>
  <si>
    <t>F260</t>
  </si>
  <si>
    <t>Germ of Maize</t>
  </si>
  <si>
    <t>see sheet Maize germ</t>
  </si>
  <si>
    <t>F261</t>
  </si>
  <si>
    <t>Oats, Rolled</t>
  </si>
  <si>
    <t xml:space="preserve">Oats flaked </t>
  </si>
  <si>
    <t>https://www.feedtables.com/content/table-feed-profile?feed_pr_id=12425</t>
  </si>
  <si>
    <t>F262</t>
  </si>
  <si>
    <t>Cereal Preparations</t>
  </si>
  <si>
    <t>F263</t>
  </si>
  <si>
    <t>Rice, Milled (Husked)</t>
  </si>
  <si>
    <t>F264</t>
  </si>
  <si>
    <t>Rice, Milled</t>
  </si>
  <si>
    <t>https://www.feedipedia.org/node/12525</t>
  </si>
  <si>
    <t>F265</t>
  </si>
  <si>
    <t>Rice, Broken</t>
  </si>
  <si>
    <t>https://www.feedipedia.org/node/24397</t>
  </si>
  <si>
    <t>F266</t>
  </si>
  <si>
    <t>Husked rice</t>
  </si>
  <si>
    <t>F267</t>
  </si>
  <si>
    <t>Flour of Cassava</t>
  </si>
  <si>
    <t>Cassava pulp, dried</t>
  </si>
  <si>
    <t>https://www.feedtables.com/content/table-feed-profile?feed_pr_id=269566</t>
  </si>
  <si>
    <t>F268</t>
  </si>
  <si>
    <t>Flour of Roots and Tubers nes</t>
  </si>
  <si>
    <t>F269</t>
  </si>
  <si>
    <t>Flour of Pulses</t>
  </si>
  <si>
    <t>F270</t>
  </si>
  <si>
    <t>Flour of Fruits</t>
  </si>
  <si>
    <t>Banana flour</t>
  </si>
  <si>
    <t>F271</t>
  </si>
  <si>
    <t>Mixes and doughs for the preparation of bakers' wares</t>
  </si>
  <si>
    <t>F272</t>
  </si>
  <si>
    <t>Lactose</t>
  </si>
  <si>
    <t>F273</t>
  </si>
  <si>
    <t>Isoglucose</t>
  </si>
  <si>
    <t>F274</t>
  </si>
  <si>
    <t>Starch of Wheat</t>
  </si>
  <si>
    <t>F275</t>
  </si>
  <si>
    <t>Wheat Gluten</t>
  </si>
  <si>
    <t>F276</t>
  </si>
  <si>
    <t>Starch of Rice</t>
  </si>
  <si>
    <t>F277</t>
  </si>
  <si>
    <t>Starch of Maize</t>
  </si>
  <si>
    <t>Monogastric</t>
  </si>
  <si>
    <t>Food Balance</t>
  </si>
  <si>
    <t>https://www.feedipedia.org/node/12641</t>
  </si>
  <si>
    <t>F278</t>
  </si>
  <si>
    <t>Starch of Potatoes</t>
  </si>
  <si>
    <t>Potato pulp, dehydrated</t>
  </si>
  <si>
    <t>https://www.feedipedia.org/node/26045</t>
  </si>
  <si>
    <t>F279</t>
  </si>
  <si>
    <t>Starch of Cassava</t>
  </si>
  <si>
    <t>Cassava pomace, dehydrated</t>
  </si>
  <si>
    <t>https://www.feedipedia.org/node/11945</t>
  </si>
  <si>
    <t>F280</t>
  </si>
  <si>
    <t>Tapioca of Potatoes</t>
  </si>
  <si>
    <t>F281</t>
  </si>
  <si>
    <t>Tapioca of Cassava</t>
  </si>
  <si>
    <t>F282</t>
  </si>
  <si>
    <t>Dog or cat food, put up for retail sale</t>
  </si>
  <si>
    <t>F283</t>
  </si>
  <si>
    <t>Compound Feed, Cattle</t>
  </si>
  <si>
    <t>F284</t>
  </si>
  <si>
    <t>Compound Feed, Poultry</t>
  </si>
  <si>
    <t>F285</t>
  </si>
  <si>
    <t>Compound Feed, Pigs</t>
  </si>
  <si>
    <t>F286</t>
  </si>
  <si>
    <t>Compound Feed nes</t>
  </si>
  <si>
    <t>F287</t>
  </si>
  <si>
    <t>Feed Supplements</t>
  </si>
  <si>
    <t>SYNTHETIC</t>
  </si>
  <si>
    <t>F288</t>
  </si>
  <si>
    <t>Other Concentrates nes</t>
  </si>
  <si>
    <t>F289</t>
  </si>
  <si>
    <t>Feed Additives</t>
  </si>
  <si>
    <t>Synthetic additives such as amino-acids or minerals.</t>
  </si>
  <si>
    <t>F290</t>
  </si>
  <si>
    <t>Feed Minerals</t>
  </si>
  <si>
    <t>F291</t>
  </si>
  <si>
    <t>Lucerne (alfalfa) meal and pellets</t>
  </si>
  <si>
    <t>Alfalfa, protein concentrate</t>
  </si>
  <si>
    <t>https://www.feedipedia.org/node/11748</t>
  </si>
  <si>
    <t>https://www.feedtables.com/content/alfalfa-protein-concentrate</t>
  </si>
  <si>
    <t>F292</t>
  </si>
  <si>
    <t>Cane sugar, non-centrifugal</t>
  </si>
  <si>
    <t>F293</t>
  </si>
  <si>
    <t>Raw cane or beet sugar (centrifugal only)</t>
  </si>
  <si>
    <t>2351f</t>
  </si>
  <si>
    <t>F294</t>
  </si>
  <si>
    <t>Refined sugar</t>
  </si>
  <si>
    <t>F295</t>
  </si>
  <si>
    <t>Molasses (from cane)</t>
  </si>
  <si>
    <t>MOLASSES</t>
  </si>
  <si>
    <t>By-product from the sugarcane sugar extraction.</t>
  </si>
  <si>
    <t>https://www.feedipedia.org/node/12341</t>
  </si>
  <si>
    <t>F296</t>
  </si>
  <si>
    <t>Molasses (from beet)</t>
  </si>
  <si>
    <t xml:space="preserve">https://www.feedipedia.org/node/12340 </t>
  </si>
  <si>
    <t>F297</t>
  </si>
  <si>
    <t>Fruit, Nuts, Peel, Sugar Preserved</t>
  </si>
  <si>
    <t>F298</t>
  </si>
  <si>
    <t>Uncooked pasta, not stuffed or otherwise prepared</t>
  </si>
  <si>
    <t>F299</t>
  </si>
  <si>
    <t>Extracts, essences and concentrates of tea or mate, and preparations with a basis thereof or with a basis of tea or matÔøΩ</t>
  </si>
  <si>
    <t>F300</t>
  </si>
  <si>
    <t>Egg Albumin</t>
  </si>
  <si>
    <t>F301</t>
  </si>
  <si>
    <t>Soya Paste</t>
  </si>
  <si>
    <t>F302</t>
  </si>
  <si>
    <t>Flour of Mustard Seed</t>
  </si>
  <si>
    <t>F303</t>
  </si>
  <si>
    <t>Undenatured ethyl alcohol of an alcoholic strength by volume of 80% vol or higher</t>
  </si>
  <si>
    <t>F304</t>
  </si>
  <si>
    <t>Malt, whether or not roasted</t>
  </si>
  <si>
    <t>F305</t>
  </si>
  <si>
    <t>Other non-alcoholic caloric beverages n.e.c</t>
  </si>
  <si>
    <t>F306</t>
  </si>
  <si>
    <t>Industrial monocarboxylic fatty acids; acid oils from refining/n</t>
  </si>
  <si>
    <t>F307</t>
  </si>
  <si>
    <t>Animal or vegetable fats and oils and their fractions, chemically modified, except those hydrogenated, inter-esterified, re-esterified or elaidinized; inedible mixtures or preparations of animal or vegetable fats or oils/n</t>
  </si>
  <si>
    <t>F308</t>
  </si>
  <si>
    <t>Bran of Wheat</t>
  </si>
  <si>
    <t>GRNBYDRY</t>
  </si>
  <si>
    <t>https://www.feedipedia.org/node/12751</t>
  </si>
  <si>
    <t>F309</t>
  </si>
  <si>
    <t>Bran of Rice</t>
  </si>
  <si>
    <t>se sheet Bran of Rice</t>
  </si>
  <si>
    <t>F310</t>
  </si>
  <si>
    <t>Bran of Barley</t>
  </si>
  <si>
    <t>F311</t>
  </si>
  <si>
    <t>Bran of Maize</t>
  </si>
  <si>
    <t>https://www.feedipedia.org/node/12280</t>
  </si>
  <si>
    <t>F312</t>
  </si>
  <si>
    <t>Bran of Rye</t>
  </si>
  <si>
    <t>Rye bran</t>
  </si>
  <si>
    <t>https://www.feedipedia.org/node/12541</t>
  </si>
  <si>
    <t>F313</t>
  </si>
  <si>
    <t>Bran of Oats</t>
  </si>
  <si>
    <t>https://www.feedipedia.org/node/12385</t>
  </si>
  <si>
    <t>F314</t>
  </si>
  <si>
    <t>Bran of Millet</t>
  </si>
  <si>
    <t>Pearl millet bran</t>
  </si>
  <si>
    <t>https://www.feedipedia.org/node/11690</t>
  </si>
  <si>
    <t>F315</t>
  </si>
  <si>
    <t>Bran of Sorghum</t>
  </si>
  <si>
    <t>F316</t>
  </si>
  <si>
    <t>Bran of Buckwheat</t>
  </si>
  <si>
    <t>see sheet Buckwheat bran</t>
  </si>
  <si>
    <t>F317</t>
  </si>
  <si>
    <t>Bran of Fonio</t>
  </si>
  <si>
    <t>F318</t>
  </si>
  <si>
    <t>Bran of Triticale</t>
  </si>
  <si>
    <t>F319</t>
  </si>
  <si>
    <t>Bran of Mixed Grain</t>
  </si>
  <si>
    <t>‚ÄòDry‚Äô by-products of grain industries such as brans, middlings, etc.</t>
  </si>
  <si>
    <t>see sheet GRNBYDRY)</t>
  </si>
  <si>
    <t>F320</t>
  </si>
  <si>
    <t>Bran of Cereals nes</t>
  </si>
  <si>
    <t>F321</t>
  </si>
  <si>
    <t>Bran of Pulses</t>
  </si>
  <si>
    <t>F322</t>
  </si>
  <si>
    <t>Pulp, Waste of Fruit for Feed</t>
  </si>
  <si>
    <t>F323</t>
  </si>
  <si>
    <t>Marc of grape</t>
  </si>
  <si>
    <t>Grape pomace, dehydrated</t>
  </si>
  <si>
    <t>https://www.feedipedia.org/node/12133</t>
  </si>
  <si>
    <t>F324</t>
  </si>
  <si>
    <t>Vegetable Products for Feed nes</t>
  </si>
  <si>
    <t>F325</t>
  </si>
  <si>
    <t>Leaves, Tops and Vines n.e.</t>
  </si>
  <si>
    <t>Leaves from natural, uncultivated vegetation found in trees, forest, lanes etc.</t>
  </si>
  <si>
    <t>F326</t>
  </si>
  <si>
    <t>Rice, Gluten</t>
  </si>
  <si>
    <t>F327</t>
  </si>
  <si>
    <t>Maize Gluten</t>
  </si>
  <si>
    <t>F328</t>
  </si>
  <si>
    <t>Potato Offals</t>
  </si>
  <si>
    <t>SWILL</t>
  </si>
  <si>
    <t>Potato peels, fresh</t>
  </si>
  <si>
    <t>F329</t>
  </si>
  <si>
    <t>Maize Gluten meal</t>
  </si>
  <si>
    <t>MZGLTM</t>
  </si>
  <si>
    <t>By-product from maize processing. It is a protein-rich feed, with about 65% crude protein content.</t>
  </si>
  <si>
    <t>https://www.feedipedia.org/node/715</t>
  </si>
  <si>
    <t>F330</t>
  </si>
  <si>
    <t>Maize Gluten feed</t>
  </si>
  <si>
    <t>MZGLTF</t>
  </si>
  <si>
    <t>By-product from maize processing. Unlike the gluten meal, its protein content is lower, of about 25% crude protein content.</t>
  </si>
  <si>
    <t>https://www.feedipedia.org/node/12287</t>
  </si>
  <si>
    <t>F331</t>
  </si>
  <si>
    <t>Bagasse</t>
  </si>
  <si>
    <t>https://www.feedipedia.org/node/11672</t>
  </si>
  <si>
    <t>F332</t>
  </si>
  <si>
    <t>Beet pulp</t>
  </si>
  <si>
    <t>BPULP</t>
  </si>
  <si>
    <t>Also known as ‚Äòbeet pulp‚Äô, is the remaining material after the juice extraction for sugar production from the sugar beet (Beta vulgaris).</t>
  </si>
  <si>
    <t>https://www.feedtables.com/content/table-dry-matter</t>
  </si>
  <si>
    <t>F333</t>
  </si>
  <si>
    <t>Coffee Husks and Skins</t>
  </si>
  <si>
    <t>Coffee pulp, dehydrated</t>
  </si>
  <si>
    <t>https://www.feedipedia.org/node/11613</t>
  </si>
  <si>
    <t>F334</t>
  </si>
  <si>
    <t>Cocoa Husks and Shells</t>
  </si>
  <si>
    <t>F335</t>
  </si>
  <si>
    <t>Brewing or distilling dregs and waste</t>
  </si>
  <si>
    <t>GRNBYWET</t>
  </si>
  <si>
    <t>‚ÄòWet‚Äô by-products of grain industries such as biofuels, distilleries, breweries, etc.</t>
  </si>
  <si>
    <t>see sheet GRNBYWET)</t>
  </si>
  <si>
    <t>F336</t>
  </si>
  <si>
    <t>Food Wastes</t>
  </si>
  <si>
    <t>F337</t>
  </si>
  <si>
    <t>Food Waste, Prep. for Feed</t>
  </si>
  <si>
    <t>Household food waste and other organic material used as feed.</t>
  </si>
  <si>
    <t>F338</t>
  </si>
  <si>
    <t>bread</t>
  </si>
  <si>
    <t>F0020</t>
  </si>
  <si>
    <t>F339</t>
  </si>
  <si>
    <t>fruit prepared n.e.</t>
  </si>
  <si>
    <t>F0623</t>
  </si>
  <si>
    <t>F340</t>
  </si>
  <si>
    <t>cocoa powder and cake</t>
  </si>
  <si>
    <t>F0665</t>
  </si>
  <si>
    <t>F341</t>
  </si>
  <si>
    <t>fat preparations n.e.</t>
  </si>
  <si>
    <t>F1243</t>
  </si>
  <si>
    <t>F342</t>
  </si>
  <si>
    <t>seeds for planting</t>
  </si>
  <si>
    <t>F1294</t>
  </si>
  <si>
    <t>F343</t>
  </si>
  <si>
    <t>Limestone</t>
  </si>
  <si>
    <t>LIMESTONE</t>
  </si>
  <si>
    <t>Used as source of calcium, is given to laying hens to favor the formation of the egg shell.</t>
  </si>
  <si>
    <t>F344</t>
  </si>
  <si>
    <t>Scavenging</t>
  </si>
  <si>
    <t>Organic material from scavenging in extensive systems.</t>
  </si>
  <si>
    <t>LEMON and LIME</t>
  </si>
  <si>
    <t>ruminants</t>
  </si>
  <si>
    <t>monogastrics</t>
  </si>
  <si>
    <t>Name</t>
  </si>
  <si>
    <t>Dry matter (%)</t>
  </si>
  <si>
    <t>GE (MJ/kg)</t>
  </si>
  <si>
    <t>DE (MJ/kg)</t>
  </si>
  <si>
    <t>ME (MJ/kg)</t>
  </si>
  <si>
    <t>Nitrogen digestibility (%)</t>
  </si>
  <si>
    <t>DE (MJ/kg) - pigs</t>
  </si>
  <si>
    <t>ME (MJ/kg) - pigs</t>
  </si>
  <si>
    <t>ME (MJ/kg) - poultry</t>
  </si>
  <si>
    <t>Nitrogen digestibility(%)</t>
  </si>
  <si>
    <t>CP (%DM)</t>
  </si>
  <si>
    <t>source</t>
  </si>
  <si>
    <t>Sunflower meal, solvent-extracted, dehulled or non-dehulled</t>
  </si>
  <si>
    <t>https://www.feedipedia.org/node/12663</t>
  </si>
  <si>
    <t>Sunflower meal, solvent-extracted, dehulled and partially dehulled</t>
  </si>
  <si>
    <t>https://www.feedipedia.org/node/12806</t>
  </si>
  <si>
    <t>Sunflower meal, solvent-extracted, non-dehulled</t>
  </si>
  <si>
    <t>https://www.feedipedia.org/node/12665</t>
  </si>
  <si>
    <t>Sunflower meal, mechanically-extracted</t>
  </si>
  <si>
    <t>https://www.feedipedia.org/node/12664</t>
  </si>
  <si>
    <t>mean</t>
  </si>
  <si>
    <t>PUMPKIN</t>
  </si>
  <si>
    <t>Nitrogen digestibility</t>
  </si>
  <si>
    <t>Pumpkin (Cucurbita sp.), fruits, fresh</t>
  </si>
  <si>
    <t>https://www.feedipedia.org/node/12480</t>
  </si>
  <si>
    <t>Pumpkin (Cucurbita sp.), fruit, dried</t>
  </si>
  <si>
    <t>https://www.feedipedia.org/node/14541</t>
  </si>
  <si>
    <t>Pumpkin (Cucurbita sp.), crop by-product, fresh</t>
  </si>
  <si>
    <t>https://www.feedipedia.org/node/14542</t>
  </si>
  <si>
    <t>Pumpkin (Cucurbita sp.), hulls</t>
  </si>
  <si>
    <t>https://www.feedipedia.org/node/12481</t>
  </si>
  <si>
    <t>Pumpkin (Cucurbita sp.), oil meal, solvent extraction</t>
  </si>
  <si>
    <t>https://www.feedipedia.org/node/12483</t>
  </si>
  <si>
    <t>Pumpkin (Cucurbita sp.), oil meal, mechanical extraction</t>
  </si>
  <si>
    <t>https://www.feedipedia.org/node/12482</t>
  </si>
  <si>
    <t>Pumpkin (Cucurbita sp.), seeds with hulls</t>
  </si>
  <si>
    <t>https://www.feedipedia.org/node/12485</t>
  </si>
  <si>
    <t>Pumpkin (Cucurbita sp.), seeds without hulls</t>
  </si>
  <si>
    <t>https://www.feedipedia.org/node/12486</t>
  </si>
  <si>
    <t>OKRA</t>
  </si>
  <si>
    <t>Okra (Abelmoschus esculentus), fruits, dry</t>
  </si>
  <si>
    <t>https://www.feedipedia.org/node/12400</t>
  </si>
  <si>
    <t>Okra (Abelmoschus esculentus), fruits, fresh</t>
  </si>
  <si>
    <t>https://www.feedipedia.org/node/12401</t>
  </si>
  <si>
    <t>Okra (Abelmoschus esculentus), leaves, fresh</t>
  </si>
  <si>
    <t>https://www.feedipedia.org/node/12402</t>
  </si>
  <si>
    <t>Okra (Abelmoschus esculentus), oil cake</t>
  </si>
  <si>
    <t>https://www.feedipedia.org/node/12403</t>
  </si>
  <si>
    <t>Okra (Abelmoschus esculentus), seeds</t>
  </si>
  <si>
    <t>https://www.feedipedia.org/node/12404</t>
  </si>
  <si>
    <t>MAIZE SILAGE</t>
  </si>
  <si>
    <t>Maize silage, dry matter &lt; 25%</t>
  </si>
  <si>
    <t>https://www.feedipedia.org/node/12869</t>
  </si>
  <si>
    <t>Maize silage, dry matter 25-30%</t>
  </si>
  <si>
    <t>https://www.feedipedia.org/node/12870</t>
  </si>
  <si>
    <t>Maize silage, dry matter 30-35%</t>
  </si>
  <si>
    <t>https://www.feedipedia.org/node/12871</t>
  </si>
  <si>
    <t>Maize silage, dry matter 35-40%</t>
  </si>
  <si>
    <t>https://www.feedipedia.org/node/12872</t>
  </si>
  <si>
    <t>12) ZSTOVER</t>
  </si>
  <si>
    <r>
      <t>crop residue from mai</t>
    </r>
    <r>
      <rPr>
        <b/>
        <sz val="11"/>
        <color theme="1"/>
        <rFont val="Calibri"/>
        <family val="2"/>
        <scheme val="minor"/>
      </rPr>
      <t>Z</t>
    </r>
    <r>
      <rPr>
        <sz val="11"/>
        <color theme="1"/>
        <rFont val="Calibri"/>
        <family val="2"/>
        <scheme val="minor"/>
      </rPr>
      <t>e</t>
    </r>
  </si>
  <si>
    <t>Dry metter content (%)</t>
  </si>
  <si>
    <t>Maize stover, fresh</t>
  </si>
  <si>
    <t>http://www.feedipedia.org/node/12873</t>
  </si>
  <si>
    <t>Maize stover, dried</t>
  </si>
  <si>
    <t>http://www.feedipedia.org/node/12874</t>
  </si>
  <si>
    <t>13) MSTOVER</t>
  </si>
  <si>
    <r>
      <t xml:space="preserve">crop residue from </t>
    </r>
    <r>
      <rPr>
        <b/>
        <sz val="11"/>
        <color theme="1"/>
        <rFont val="Calibri"/>
        <family val="2"/>
        <scheme val="minor"/>
      </rPr>
      <t>M</t>
    </r>
    <r>
      <rPr>
        <sz val="11"/>
        <color theme="1"/>
        <rFont val="Calibri"/>
        <family val="2"/>
        <scheme val="minor"/>
      </rPr>
      <t>illet</t>
    </r>
  </si>
  <si>
    <t>Proso millet (Panicum miliaceum), straw</t>
  </si>
  <si>
    <t>http://www.feedipedia.org/node/12009</t>
  </si>
  <si>
    <t>Finger millet (Eleusine coracana), straw, silage</t>
  </si>
  <si>
    <t>http://www.feedipedia.org/node/12092</t>
  </si>
  <si>
    <t>Pearl millet (Pennisetum glaucum), straw</t>
  </si>
  <si>
    <t>http://www.feedipedia.org/node/12442</t>
  </si>
  <si>
    <t>Finger millet (Eleusine coracana), straw</t>
  </si>
  <si>
    <t>http://www.feedipedia.org/node/12091</t>
  </si>
  <si>
    <t>PIGEON PEAS STRAW</t>
  </si>
  <si>
    <t>DE (%)</t>
  </si>
  <si>
    <t>Pigeon pea (Cajanus cajan), aerial part, fresh</t>
  </si>
  <si>
    <t>https://www.feedipedia.org/node/11909</t>
  </si>
  <si>
    <t>Pigeon pea (Cajanus cajan), hay</t>
  </si>
  <si>
    <t>https://www.feedipedia.org/node/11910</t>
  </si>
  <si>
    <t>BANANA STEMS</t>
  </si>
  <si>
    <t>Banana shoots, fresh</t>
  </si>
  <si>
    <t>https://www.feedipedia.org/node/11816</t>
  </si>
  <si>
    <t>Plantain banana trunk, fresh</t>
  </si>
  <si>
    <t>https://www.feedipedia.org/node/12462</t>
  </si>
  <si>
    <t>Banana stalks, fresh</t>
  </si>
  <si>
    <t>https://www.feedipedia.org/node/11817</t>
  </si>
  <si>
    <t>Banana, aerial part, fresh</t>
  </si>
  <si>
    <t>https://www.feedipedia.org/node/11818</t>
  </si>
  <si>
    <t>Plantain banana shoots, fresh</t>
  </si>
  <si>
    <t>https://www.feedipedia.org/node/12461</t>
  </si>
  <si>
    <t>MANGO</t>
  </si>
  <si>
    <t>Mango (Mangifera indica) fruits, fresh</t>
  </si>
  <si>
    <t>https://www.feedipedia.org/node/12304</t>
  </si>
  <si>
    <t>Mango (Mangifera indica), kernels, fresh</t>
  </si>
  <si>
    <t>https://www.feedipedia.org/node/12305</t>
  </si>
  <si>
    <t>Mango (Mangifera indica), kernels, dried</t>
  </si>
  <si>
    <t>https://www.feedipedia.org/node/12817</t>
  </si>
  <si>
    <t>Mango (Mangifera indica), peels, fresh</t>
  </si>
  <si>
    <t>https://www.feedipedia.org/node/12814</t>
  </si>
  <si>
    <t>Mango (Mangifera indica), peels, dried</t>
  </si>
  <si>
    <t>https://www.feedipedia.org/node/12815</t>
  </si>
  <si>
    <t>Mango (Mangifera indica), juice extraction by-product, dried</t>
  </si>
  <si>
    <t>https://www.feedipedia.org/node/14827</t>
  </si>
  <si>
    <t>Mango (Mangifera indica), oil meal</t>
  </si>
  <si>
    <t>https://www.feedipedia.org/node/12816</t>
  </si>
  <si>
    <t>Lime (Citrus aurantiifolia), fruits</t>
  </si>
  <si>
    <t>https://www.feedipedia.org/node/12257</t>
  </si>
  <si>
    <t>Lemon fruits, dried</t>
  </si>
  <si>
    <t>https://www.feedipedia.org/node/12847</t>
  </si>
  <si>
    <t>CAROBS</t>
  </si>
  <si>
    <t>Carob (Ceratonia siliqua), pod meal, without seeds</t>
  </si>
  <si>
    <t>https://www.feedipedia.org/node/11933</t>
  </si>
  <si>
    <t>Carob (Ceratonia siliqua), whole pods</t>
  </si>
  <si>
    <t>https://www.feedipedia.org/node/14532</t>
  </si>
  <si>
    <t>Carob (Ceratonia siliqua), germ, dehydrated</t>
  </si>
  <si>
    <t>https://www.feedipedia.org/node/11932</t>
  </si>
  <si>
    <t>Carob (Ceratonia siliqua), seeds</t>
  </si>
  <si>
    <t>https://www.feedipedia.org/node/11936</t>
  </si>
  <si>
    <t>CASTOR OIL</t>
  </si>
  <si>
    <t>Castor (Ricinus communis), oil cake, detoxified, oil &lt; 5%</t>
  </si>
  <si>
    <t>https://www.feedipedia.org/node/11950</t>
  </si>
  <si>
    <t>Castor (Ricinus communis), oil cake, detoxified, oil &gt; 5%</t>
  </si>
  <si>
    <t>https://www.feedipedia.org/node/26844</t>
  </si>
  <si>
    <t>POPPY OIL MEAL</t>
  </si>
  <si>
    <t>Poppy (Papaver somniferum), oil meal, mechanical extraction</t>
  </si>
  <si>
    <t>https://www.feedipedia.org/node/12463</t>
  </si>
  <si>
    <t>Poppy (Papaver somniferum), oil meal, solvent extraction</t>
  </si>
  <si>
    <t>https://www.feedipedia.org/node/12464</t>
  </si>
  <si>
    <t>ORANGE</t>
  </si>
  <si>
    <t>Orange peels, fresh</t>
  </si>
  <si>
    <t>https://www.feedipedia.org/node/12415</t>
  </si>
  <si>
    <t>Orange peels, silage</t>
  </si>
  <si>
    <t>https://www.feedipedia.org/node/12416</t>
  </si>
  <si>
    <t>GRAPES</t>
  </si>
  <si>
    <t>Grape leaves, fresh</t>
  </si>
  <si>
    <t>https://www.feedipedia.org/node/12132</t>
  </si>
  <si>
    <t>Grape branches and leaves, fresh</t>
  </si>
  <si>
    <t>PAPAYA</t>
  </si>
  <si>
    <t>Papaya leaves, fresh</t>
  </si>
  <si>
    <t>https://www.feedipedia.org/node/11551</t>
  </si>
  <si>
    <t>Papaya leaves, dried</t>
  </si>
  <si>
    <t>https://www.feedipedia.org/node/11552</t>
  </si>
  <si>
    <t>Papaya peels, fresh</t>
  </si>
  <si>
    <t>https://www.feedipedia.org/node/11553</t>
  </si>
  <si>
    <t>Papaya pomace, dried</t>
  </si>
  <si>
    <t>https://www.feedipedia.org/node/11554</t>
  </si>
  <si>
    <t>Papaya fruit</t>
  </si>
  <si>
    <t>https://www.feedipedia.org/node/11550</t>
  </si>
  <si>
    <t>OLIVE RESIDUES</t>
  </si>
  <si>
    <t>Olive leaves, silage</t>
  </si>
  <si>
    <t>https://www.feedipedia.org/node/12408</t>
  </si>
  <si>
    <t>Olive leaves and branches, dry</t>
  </si>
  <si>
    <t>https://www.feedipedia.org/node/12406</t>
  </si>
  <si>
    <t>Olive leaves, fresh</t>
  </si>
  <si>
    <t>https://www.feedipedia.org/node/12407</t>
  </si>
  <si>
    <t>OLIVE OIL CAKE</t>
  </si>
  <si>
    <t>Olive oil cake, crude, with stones</t>
  </si>
  <si>
    <t>https://www.feedipedia.org/node/12409</t>
  </si>
  <si>
    <t>Olive oil cake, crude, without stones</t>
  </si>
  <si>
    <t>https://www.feedipedia.org/node/12886</t>
  </si>
  <si>
    <t>Olive oil cake, exhausted, with stones</t>
  </si>
  <si>
    <t>https://www.feedipedia.org/node/12887</t>
  </si>
  <si>
    <t>Olive oil cake, exhausted, without stones</t>
  </si>
  <si>
    <t>https://www.feedipedia.org/node/12888</t>
  </si>
  <si>
    <t>PALM KERNELS</t>
  </si>
  <si>
    <t>Babassu (Attalea speciosa), oil meal, partially decorticated, expeller extraction</t>
  </si>
  <si>
    <t>https://www.feedipedia.org/node/11792</t>
  </si>
  <si>
    <t>Babassu (Attalea speciosa), oil meal, partially decorticated, solvent extraction</t>
  </si>
  <si>
    <t>https://www.feedipedia.org/node/12823</t>
  </si>
  <si>
    <t>Babassu (Attalea speciosa), oil meal, decorticated, expeller extraction</t>
  </si>
  <si>
    <t>https://www.feedipedia.org/node/12824</t>
  </si>
  <si>
    <t>Babassu (Attalea speciosa), oil meal, decorticated, solvent extraction</t>
  </si>
  <si>
    <t>https://www.feedipedia.org/node/12825</t>
  </si>
  <si>
    <t>YAMS</t>
  </si>
  <si>
    <t>White yam (Dioscorea rotundata), tuber, fresh</t>
  </si>
  <si>
    <t>https://www.feedipedia.org/node/12767</t>
  </si>
  <si>
    <t>Chinese yam (Dioscorea esculenta), tuber, fresh</t>
  </si>
  <si>
    <t>https://www.feedipedia.org/node/11980</t>
  </si>
  <si>
    <t>Yellow yam (Dioscorea cayenensis), tuber, fresh</t>
  </si>
  <si>
    <t>https://www.feedipedia.org/node/12795</t>
  </si>
  <si>
    <t>Winged yam (Dioscorea alata), tuber, fresh</t>
  </si>
  <si>
    <t>https://www.feedipedia.org/node/12778</t>
  </si>
  <si>
    <t>TARO</t>
  </si>
  <si>
    <t>Taro (Colocasia esculenta), tuber, fresh</t>
  </si>
  <si>
    <t>https://www.feedipedia.org/node/12692</t>
  </si>
  <si>
    <t>Taro (Colocasia esculenta), tuber, peeled, fresh</t>
  </si>
  <si>
    <t>https://www.feedipedia.org/node/12693</t>
  </si>
  <si>
    <t>Taro (Colocasia esculenta), tuber, dried</t>
  </si>
  <si>
    <t>https://www.feedipedia.org/node/17276</t>
  </si>
  <si>
    <t>Malanga (Xanthosoma sagittifolium), peelings, fresh</t>
  </si>
  <si>
    <t>https://www.feedipedia.org/node/12300</t>
  </si>
  <si>
    <t>Malanga (Xanthosoma sagittifolium), tubers, fresh</t>
  </si>
  <si>
    <t>https://www.feedipedia.org/node/12302</t>
  </si>
  <si>
    <t>Malanga (Xanthosoma sagittifolium), tubers, peeled, fresh</t>
  </si>
  <si>
    <t>https://www.feedipedia.org/node/12303</t>
  </si>
  <si>
    <t>LUPINS</t>
  </si>
  <si>
    <t xml:space="preserve">DE (MJ/kg) </t>
  </si>
  <si>
    <t>Blue lupin (Lupinus angustifolius) seeds</t>
  </si>
  <si>
    <t>https://www.feedipedia.org/node/12271</t>
  </si>
  <si>
    <t>White lupin (Lupinus albus), seeds</t>
  </si>
  <si>
    <t>https://www.feedipedia.org/node/12275</t>
  </si>
  <si>
    <t>Yellow lupin (Lupinus luteus) seeds</t>
  </si>
  <si>
    <t>https://www.feedipedia.org/node/23097</t>
  </si>
  <si>
    <t>CEREAL STRAWS</t>
  </si>
  <si>
    <t>Nitrogen digestibility%</t>
  </si>
  <si>
    <t>source2</t>
  </si>
  <si>
    <t>Wheat straw</t>
  </si>
  <si>
    <t>https://www.feedipedia.org/node/12758</t>
  </si>
  <si>
    <t>https://www.feedtables.com/content/wheat-straw</t>
  </si>
  <si>
    <t>Barley straw</t>
  </si>
  <si>
    <t>Oat straw</t>
  </si>
  <si>
    <t>https://www.feedtables.com/content/oat-hulls</t>
  </si>
  <si>
    <t>Triticale straw</t>
  </si>
  <si>
    <t>https://www.feedipedia.org/node/16332</t>
  </si>
  <si>
    <t>Rye straw</t>
  </si>
  <si>
    <t>Tef (Eragrostif tef), aerial part, straw</t>
  </si>
  <si>
    <t>https://www.feedipedia.org/node/22526</t>
  </si>
  <si>
    <t>CLOVER FORAGE</t>
  </si>
  <si>
    <t>White clover (Trifolium repens), aerial part, fresh</t>
  </si>
  <si>
    <t>https://www.feedipedia.org/node/12762</t>
  </si>
  <si>
    <t>Berseem (Trifolium alexandrinum), aerial part, fresh</t>
  </si>
  <si>
    <t>https://www.feedipedia.org/node/11851</t>
  </si>
  <si>
    <t>Crimson clover (Trifolium incarnatum), aerial part, fresh</t>
  </si>
  <si>
    <t>https://www.feedipedia.org/node/12035</t>
  </si>
  <si>
    <t>Persian clover (Trifolium resupinatum), aerial part, fresh</t>
  </si>
  <si>
    <t>https://www.feedipedia.org/node/12450</t>
  </si>
  <si>
    <t>Red clover (Trifolium pratense), aerial part, fresh</t>
  </si>
  <si>
    <t>https://www.feedipedia.org/node/12508</t>
  </si>
  <si>
    <t>Subterranean clover (Trifolium subterraneum), aerial part, fresh</t>
  </si>
  <si>
    <t>https://www.feedipedia.org/node/12645</t>
  </si>
  <si>
    <t>Tembien clover (Trifolium tembense), aerial part, fresh</t>
  </si>
  <si>
    <t>https://www.feedipedia.org/node/12696</t>
  </si>
  <si>
    <t>HAY GRASS NON-LEGUMINOSE</t>
  </si>
  <si>
    <t>Elephant grass (Pennisetum purpureum), hay</t>
  </si>
  <si>
    <t>https://www.feedipedia.org/node/12366</t>
  </si>
  <si>
    <t>Dubi grass (Urochloa oligotricha), hay</t>
  </si>
  <si>
    <t>https://www.feedipedia.org/node/12062</t>
  </si>
  <si>
    <t>Dal grass (Hymenachne amplexicaulis), hay</t>
  </si>
  <si>
    <t>https://www.feedipedia.org/node/12045</t>
  </si>
  <si>
    <t>Bermuda grass (Cynodon dactylon), hay</t>
  </si>
  <si>
    <t>https://www.feedipedia.org/node/11850</t>
  </si>
  <si>
    <t>Nile grass (Acroceras macrum), aerial part, hay</t>
  </si>
  <si>
    <t>https://www.feedipedia.org/node/12382</t>
  </si>
  <si>
    <t>Congo grass (Brachiaria ruziziensis), hay</t>
  </si>
  <si>
    <t>https://www.feedipedia.org/node/12848</t>
  </si>
  <si>
    <t>St Augustine grass (Stenotaphrum secundatum), hay</t>
  </si>
  <si>
    <t>https://www.feedipedia.org/node/12640</t>
  </si>
  <si>
    <t>HAY GRASS LEGUMINOSE</t>
  </si>
  <si>
    <t>Siratro (Macroptilium atropurpureum), aerial part, hay</t>
  </si>
  <si>
    <t>https://www.feedipedia.org/node/15457</t>
  </si>
  <si>
    <t>Velvet bean (Mucuna pruriens), hay</t>
  </si>
  <si>
    <t>https://www.feedipedia.org/node/12716</t>
  </si>
  <si>
    <t>Common vetch (Vicia sativa), hay</t>
  </si>
  <si>
    <t>https://www.feedipedia.org/node/12013</t>
  </si>
  <si>
    <t>Cowpea (Vigna unguiculata), hay</t>
  </si>
  <si>
    <t>https://www.feedipedia.org/node/12026</t>
  </si>
  <si>
    <t>Soybean hay</t>
  </si>
  <si>
    <t>https://www.feedipedia.org/node/12622</t>
  </si>
  <si>
    <t xml:space="preserve">mean </t>
  </si>
  <si>
    <t>OTHER GRASS</t>
  </si>
  <si>
    <t>Whorled dropseed, fresh</t>
  </si>
  <si>
    <t>https://www.feedipedia.org/node/11536</t>
  </si>
  <si>
    <t>Columbus grass (Sorghum x almum), aerial part, fresh</t>
  </si>
  <si>
    <t>https://www.feedipedia.org/node/12004</t>
  </si>
  <si>
    <t>Elephant grass (Pennisetum purpureum), aerial part, fresh</t>
  </si>
  <si>
    <t>https://www.feedipedia.org/node/12365</t>
  </si>
  <si>
    <t>Cocksfoot, aerial part, fresh</t>
  </si>
  <si>
    <t>https://www.feedipedia.org/node/11991</t>
  </si>
  <si>
    <t>Rhodes grass (Chloris gayana), aerial part, fresh</t>
  </si>
  <si>
    <t>https://www.feedipedia.org/node/12518</t>
  </si>
  <si>
    <t>Sudan grass, fresh</t>
  </si>
  <si>
    <t>https://www.feedipedia.org/node/11534</t>
  </si>
  <si>
    <t>Timothy (Phleum pratense), aerial part, fresh</t>
  </si>
  <si>
    <t>https://www.feedipedia.org/node/16887</t>
  </si>
  <si>
    <t>OTHER LEGUMES</t>
  </si>
  <si>
    <t>Birdsfoot trefoil (Lotus corniculatus), aerial part, fresh</t>
  </si>
  <si>
    <t>https://www.feedipedia.org/node/11855</t>
  </si>
  <si>
    <t>Sericea (Lespedeza cuneata), aerial part, fresh</t>
  </si>
  <si>
    <t>https://www.feedipedia.org/node/12574</t>
  </si>
  <si>
    <t>Kudzu, aerial part, fresh</t>
  </si>
  <si>
    <t>https://www.feedipedia.org/node/11546</t>
  </si>
  <si>
    <t>Agati (Sesbania grandiflora), aerial part, fresh</t>
  </si>
  <si>
    <t>https://www.feedipedia.org/node/11734</t>
  </si>
  <si>
    <t>Sesban (Sesbania sesban), aerial part, fresh</t>
  </si>
  <si>
    <t>https://www.feedipedia.org/node/12582</t>
  </si>
  <si>
    <t>Prickly sesban (Sesbania bispinosa), aerial part, fresh</t>
  </si>
  <si>
    <t>https://www.feedipedia.org/node/26497</t>
  </si>
  <si>
    <t>Sainfoin, aerial part, fresh</t>
  </si>
  <si>
    <t>https://www.feedipedia.org/node/11623</t>
  </si>
  <si>
    <t>Sulla (Hedysarum coronarium), aerial part, fresh</t>
  </si>
  <si>
    <t>https://www.feedipedia.org/node/12655</t>
  </si>
  <si>
    <t>19) MAIZE GRAIN</t>
  </si>
  <si>
    <t>monogastric</t>
  </si>
  <si>
    <t>Dry metter digestibility (%)</t>
  </si>
  <si>
    <t>maize grain europe</t>
  </si>
  <si>
    <t>http://www.feedipedia.org/node/556</t>
  </si>
  <si>
    <t xml:space="preserve">maize grain north africa and middle east </t>
  </si>
  <si>
    <t>maize grain subsaharan and east africa</t>
  </si>
  <si>
    <t>maize grain north america</t>
  </si>
  <si>
    <t>maize grain central and south america</t>
  </si>
  <si>
    <t>maize grain asia and asustralasia</t>
  </si>
  <si>
    <t>Finger millet</t>
  </si>
  <si>
    <t>https://www.feedipedia.org/node/721</t>
  </si>
  <si>
    <t>Pearl millet</t>
  </si>
  <si>
    <t>https://www.feedipedia.org/node/724</t>
  </si>
  <si>
    <t>Foxtail millet</t>
  </si>
  <si>
    <t>https://www.feedipedia.org/node/725</t>
  </si>
  <si>
    <t>Proso millet</t>
  </si>
  <si>
    <t>https://www.feedipedia.org/node/722</t>
  </si>
  <si>
    <t>SOYBEAN MEAL</t>
  </si>
  <si>
    <t>Type 50</t>
  </si>
  <si>
    <t>https://www.feedipedia.org/node/11683</t>
  </si>
  <si>
    <t>type 48</t>
  </si>
  <si>
    <t>https://www.feedipedia.org/node/26068</t>
  </si>
  <si>
    <t>LINSEED MEAL</t>
  </si>
  <si>
    <t>Dry matter(%)</t>
  </si>
  <si>
    <t>Linseed meal, cold-pressed</t>
  </si>
  <si>
    <t>https://www.feedipedia.org/node/12262</t>
  </si>
  <si>
    <t>Linseed meal, solvent extraction</t>
  </si>
  <si>
    <t>https://www.feedipedia.org/node/12263</t>
  </si>
  <si>
    <t>COPRA MEAL</t>
  </si>
  <si>
    <t>Coconut, copra, oilmeal, expeller extraction</t>
  </si>
  <si>
    <t>https://www.feedipedia.org/node/11997</t>
  </si>
  <si>
    <t>Coconut, copra, oilmeal, solvent extraction</t>
  </si>
  <si>
    <t>https://www.feedipedia.org/node/11998</t>
  </si>
  <si>
    <t>Groundnut meal</t>
  </si>
  <si>
    <t>Peanut meal, oil &lt; 5%, low fibre</t>
  </si>
  <si>
    <t>https://www.feedipedia.org/node/12160</t>
  </si>
  <si>
    <t>Peanut meal, oil &lt; 5%, high fibre</t>
  </si>
  <si>
    <t>https://www.feedipedia.org/node/12891</t>
  </si>
  <si>
    <t>Peanut meal, oil &gt; 5%</t>
  </si>
  <si>
    <t>https://www.feedipedia.org/node/12159</t>
  </si>
  <si>
    <t>CAKE OF BRAN RICE</t>
  </si>
  <si>
    <t>DE (Mj/kg)</t>
  </si>
  <si>
    <t>Rice bran, defatted, fibre &lt; 11%</t>
  </si>
  <si>
    <t>https://www.feedipedia.org/node/11639</t>
  </si>
  <si>
    <t>Rice bran, defatted, fibre 11-20%</t>
  </si>
  <si>
    <t>https://www.feedipedia.org/node/11640</t>
  </si>
  <si>
    <t>Rice bran, defatted, fibre &gt; 20%</t>
  </si>
  <si>
    <t>https://www.feedipedia.org/node/11641</t>
  </si>
  <si>
    <t>WHEY DRY</t>
  </si>
  <si>
    <t>Whey, sweet, dehydrated, skimmed</t>
  </si>
  <si>
    <t>https://www.feedipedia.org/node/12893</t>
  </si>
  <si>
    <t>Whey, acid, dehydrated, skimmed</t>
  </si>
  <si>
    <t>https://www.feedipedia.org/node/12894</t>
  </si>
  <si>
    <t>BUCKWHEAT BRAN</t>
  </si>
  <si>
    <t>Buckwheat (Fagopyrum esculentum) bran, protein &gt; 25%</t>
  </si>
  <si>
    <t>https://www.feedipedia.org/node/25596</t>
  </si>
  <si>
    <t>Buckwheat (Fagopyrum esculentum) bran, protein &lt; 25%</t>
  </si>
  <si>
    <t>https://www.feedipedia.org/node/25597</t>
  </si>
  <si>
    <t>BRAN OF RICE</t>
  </si>
  <si>
    <t>Rice bran, fibre &lt; 4%</t>
  </si>
  <si>
    <t>https://www.feedipedia.org/node/11642</t>
  </si>
  <si>
    <t>Rice bran, fibre 4-11%</t>
  </si>
  <si>
    <t>https://www.feedipedia.org/node/11636</t>
  </si>
  <si>
    <t>Rice bran, fibre 11-20%</t>
  </si>
  <si>
    <t>https://www.feedipedia.org/node/11637</t>
  </si>
  <si>
    <t>Rice bran, fibre &gt; 20%</t>
  </si>
  <si>
    <t>https://www.feedipedia.org/node/11638</t>
  </si>
  <si>
    <t>MAIZE MEAL</t>
  </si>
  <si>
    <t>Maize germ meal, protein 20-30%, oil &gt; 5%</t>
  </si>
  <si>
    <t>https://www.feedipedia.org/node/12286</t>
  </si>
  <si>
    <t>Maize germ meal, protein 20-30%, oil &lt; 5%</t>
  </si>
  <si>
    <t>https://www.feedipedia.org/node/20332</t>
  </si>
  <si>
    <t>Maize germ meal, protein &lt; 20%, oil &gt; 5%</t>
  </si>
  <si>
    <t>https://www.feedipedia.org/node/20333</t>
  </si>
  <si>
    <t>Maize germ meal, protein &lt; 20%, oil &lt; 5%</t>
  </si>
  <si>
    <t>https://www.feedipedia.org/node/20334</t>
  </si>
  <si>
    <t>MAIZE GERM</t>
  </si>
  <si>
    <t>Maize germ, oil &lt; 30%</t>
  </si>
  <si>
    <t>https://www.feedipedia.org/node/20335</t>
  </si>
  <si>
    <t>Maize germ, oil &gt; 30%</t>
  </si>
  <si>
    <t>https://www.feedipedia.org/node/20336</t>
  </si>
  <si>
    <t>HEMPSEED MEAL</t>
  </si>
  <si>
    <t>Nitorgen digestibility (%)</t>
  </si>
  <si>
    <t>Hemp oil meal, mechanical extraction</t>
  </si>
  <si>
    <t>https://www.feedipedia.org/node/11694</t>
  </si>
  <si>
    <t>Hemp oil meal, solvent extraction</t>
  </si>
  <si>
    <t>https://www.feedipedia.org/node/11695</t>
  </si>
  <si>
    <t>RAPESEED MEAL</t>
  </si>
  <si>
    <t>Rapeseed meal, 00 type, oil &lt; 5% as fed, solvent extraction</t>
  </si>
  <si>
    <t>https://www.feedipedia.org/node/12503</t>
  </si>
  <si>
    <t>Rapeseed meal, 00 type, oil &gt; 5% as fed, mechanical extraction</t>
  </si>
  <si>
    <t>https://www.feedipedia.org/node/12502</t>
  </si>
  <si>
    <t>COTTONSEED MEAL</t>
  </si>
  <si>
    <t>Cottonseed meal, low fibre, low oil</t>
  </si>
  <si>
    <t>https://www.feedipedia.org/node/12021</t>
  </si>
  <si>
    <t>Cottonseed meal, low fibre, high oil</t>
  </si>
  <si>
    <t>https://www.feedipedia.org/node/12022</t>
  </si>
  <si>
    <t>Cottonseed meal, high fibre, high oil</t>
  </si>
  <si>
    <t>https://www.feedipedia.org/node/12023</t>
  </si>
  <si>
    <t>Cottonseed meal, high fibre, low oil</t>
  </si>
  <si>
    <t>https://www.feedipedia.org/node/16275</t>
  </si>
  <si>
    <t>MEAT MEAL</t>
  </si>
  <si>
    <t>Meat and bone meal, high-fat</t>
  </si>
  <si>
    <t>https://www.feedipedia.org/node/12323</t>
  </si>
  <si>
    <t>Meat and bone meal, low-fat</t>
  </si>
  <si>
    <t>https://www.feedipedia.org/node/13628</t>
  </si>
  <si>
    <t>FISH MEAL</t>
  </si>
  <si>
    <t>Fish meal, high protein</t>
  </si>
  <si>
    <t>https://www.feedipedia.org/node/11685</t>
  </si>
  <si>
    <t>Fish meal, 60-68% protein as fed</t>
  </si>
  <si>
    <t>https://www.feedipedia.org/node/11687</t>
  </si>
  <si>
    <t>Fish meal, low protein</t>
  </si>
  <si>
    <t>https://www.feedipedia.org/node/11686</t>
  </si>
  <si>
    <t>Palm kernel meal, mechanical extraction</t>
  </si>
  <si>
    <t>https://www.feedipedia.org/node/12420</t>
  </si>
  <si>
    <t>Palm kernel meal, solvent extraction</t>
  </si>
  <si>
    <t>https://www.feedipedia.org/node/12421</t>
  </si>
  <si>
    <t>By product from grain industries: brans, middlings</t>
  </si>
  <si>
    <t>wheat bran</t>
  </si>
  <si>
    <t>http://www.feedipedia.org/node/726</t>
  </si>
  <si>
    <t>oat bran</t>
  </si>
  <si>
    <t>http://www.feedipedia.org/node/12385</t>
  </si>
  <si>
    <t>rye bran</t>
  </si>
  <si>
    <t>http://www.feedipedia.org/node/12541</t>
  </si>
  <si>
    <t>sorghum bran and milling offal</t>
  </si>
  <si>
    <t>http://www.feedipedia.org/node/12611</t>
  </si>
  <si>
    <t>Maize bran</t>
  </si>
  <si>
    <t>http://www.feedipedia.org/node/712</t>
  </si>
  <si>
    <t>wheat middlings</t>
  </si>
  <si>
    <t>http://www.feedipedia.org/node/12756</t>
  </si>
  <si>
    <t>GRNBYWET)</t>
  </si>
  <si>
    <t>By product from breweries, distilleries, bio fuels etc.</t>
  </si>
  <si>
    <t>Brewers grains, dehydrated</t>
  </si>
  <si>
    <t>https://www.feedipedia.org/node/11893</t>
  </si>
  <si>
    <t>Brewers grains, fresh</t>
  </si>
  <si>
    <t>https://www.feedipedia.org/node/11895</t>
  </si>
  <si>
    <t>Brewers grains, ensiled</t>
  </si>
  <si>
    <t>https://www.feedipedia.org/node/11894</t>
  </si>
  <si>
    <t>pearl millet, brewers' grains</t>
  </si>
  <si>
    <t>http://www.feedipedia.org/node/11691</t>
  </si>
  <si>
    <t>Wheat distillers grain with solubles, starch &gt; 7 %</t>
  </si>
  <si>
    <t>https://www.feedipedia.org/node/12802</t>
  </si>
  <si>
    <t>wheat distillers grain with solubles, starch &lt; 7 %</t>
  </si>
  <si>
    <t>http://www.feedipedia.org/node/12801</t>
  </si>
  <si>
    <t>Malt distillers grains (draff), fresh</t>
  </si>
  <si>
    <t>https://www.feedipedia.org/node/11826</t>
  </si>
  <si>
    <t>Malt distillers dark grains, dried</t>
  </si>
  <si>
    <t>https://www.feedipedia.org/node/11827</t>
  </si>
  <si>
    <t>Barley distillers grains (ethanol)</t>
  </si>
  <si>
    <t>https://www.feedipedia.org/node/19499</t>
  </si>
  <si>
    <t>Maize distillers dried grains and solubles</t>
  </si>
  <si>
    <t>https://www.feedipedia.org/node/12282</t>
  </si>
  <si>
    <t>Maize distillers dried grains and solubles, high protein</t>
  </si>
  <si>
    <t>https://www.feedipedia.org/node/12850</t>
  </si>
  <si>
    <t>Maize distillers dried grains and solubles, fat &lt; 6 %</t>
  </si>
  <si>
    <t>https://www.feedipedia.org/node/12851</t>
  </si>
  <si>
    <t>Maize distillers wet grains and solubles</t>
  </si>
  <si>
    <t>https://www.feedipedia.org/node/12283</t>
  </si>
  <si>
    <t>rye distiller's grains and solubles</t>
  </si>
  <si>
    <t>http://www.feedipedia.org/node/17475</t>
  </si>
  <si>
    <t xml:space="preserve">average of Fresh Grass and Other legumes, for forage. </t>
  </si>
  <si>
    <t>Item_code_CPC</t>
  </si>
  <si>
    <t>Source_Item_code_CPC</t>
  </si>
  <si>
    <t>Item_code_FAO</t>
  </si>
  <si>
    <t>Source_Item_code_FAO</t>
  </si>
  <si>
    <t>Crop residues</t>
  </si>
  <si>
    <t>cr_slope</t>
  </si>
  <si>
    <t>cr_intercept</t>
  </si>
  <si>
    <t>1199.02</t>
  </si>
  <si>
    <t>1199.9</t>
  </si>
  <si>
    <t>1239.01</t>
  </si>
  <si>
    <t>1241.9</t>
  </si>
  <si>
    <t>1253.01</t>
  </si>
  <si>
    <t>1253.02</t>
  </si>
  <si>
    <t>1290.01</t>
  </si>
  <si>
    <t>1290.9</t>
  </si>
  <si>
    <t>1342.01</t>
  </si>
  <si>
    <t>1342.02</t>
  </si>
  <si>
    <t>1344.01</t>
  </si>
  <si>
    <t>1344.02</t>
  </si>
  <si>
    <t>1349.2</t>
  </si>
  <si>
    <t>1449.01</t>
  </si>
  <si>
    <t>1449.02</t>
  </si>
  <si>
    <t>1449.9</t>
  </si>
  <si>
    <t>1491.01</t>
  </si>
  <si>
    <t>1491.02</t>
  </si>
  <si>
    <t>1520.01</t>
  </si>
  <si>
    <t>1520.02</t>
  </si>
  <si>
    <t>1599.1</t>
  </si>
  <si>
    <t>1599.2</t>
  </si>
  <si>
    <t>1709.01</t>
  </si>
  <si>
    <t>1709.02</t>
  </si>
  <si>
    <t>1709.9</t>
  </si>
  <si>
    <t>1919.01</t>
  </si>
  <si>
    <t>1919.02</t>
  </si>
  <si>
    <t>1919.03</t>
  </si>
  <si>
    <t>1919.04</t>
  </si>
  <si>
    <t>1919.05</t>
  </si>
  <si>
    <t>1919.06</t>
  </si>
  <si>
    <t>1919.07</t>
  </si>
  <si>
    <t>1919.08</t>
  </si>
  <si>
    <t>1919.09</t>
  </si>
  <si>
    <t>1919.1</t>
  </si>
  <si>
    <t>1919.11</t>
  </si>
  <si>
    <t>1919.91</t>
  </si>
  <si>
    <t>1919.92</t>
  </si>
  <si>
    <t>1919.93</t>
  </si>
  <si>
    <t>1919.94</t>
  </si>
  <si>
    <t>1919.95</t>
  </si>
  <si>
    <t>1919.96</t>
  </si>
  <si>
    <t>1921.01</t>
  </si>
  <si>
    <t>1929.02</t>
  </si>
  <si>
    <t>1990.01</t>
  </si>
  <si>
    <t>2943.02</t>
  </si>
  <si>
    <t>2952.04</t>
  </si>
  <si>
    <t>2959.99</t>
  </si>
  <si>
    <t>21111.01</t>
  </si>
  <si>
    <t>21117.01</t>
  </si>
  <si>
    <t>21118.01</t>
  </si>
  <si>
    <t>21118.02</t>
  </si>
  <si>
    <t>21118.03</t>
  </si>
  <si>
    <t>21159.01</t>
  </si>
  <si>
    <t>21160.01</t>
  </si>
  <si>
    <t>21160.03</t>
  </si>
  <si>
    <t>21170.93</t>
  </si>
  <si>
    <t>21190.01</t>
  </si>
  <si>
    <t>21399.03</t>
  </si>
  <si>
    <t>21419.02</t>
  </si>
  <si>
    <t>21499.01</t>
  </si>
  <si>
    <t>21511.01</t>
  </si>
  <si>
    <t>21511.02</t>
  </si>
  <si>
    <t>21529.03</t>
  </si>
  <si>
    <t>21631.01</t>
  </si>
  <si>
    <t>21631.02</t>
  </si>
  <si>
    <t>21641.01</t>
  </si>
  <si>
    <t>21691.07</t>
  </si>
  <si>
    <t>21691.9</t>
  </si>
  <si>
    <t>21910.01</t>
  </si>
  <si>
    <t>21910.02</t>
  </si>
  <si>
    <t>21910.03</t>
  </si>
  <si>
    <t>21910.04</t>
  </si>
  <si>
    <t>21910.05</t>
  </si>
  <si>
    <t>21910.06</t>
  </si>
  <si>
    <t>21910.07</t>
  </si>
  <si>
    <t>21910.08</t>
  </si>
  <si>
    <t>21910.09</t>
  </si>
  <si>
    <t>21910.1</t>
  </si>
  <si>
    <t>21910.11</t>
  </si>
  <si>
    <t>21910.12</t>
  </si>
  <si>
    <t>21910.14</t>
  </si>
  <si>
    <t>1499.05</t>
  </si>
  <si>
    <t>21910.15</t>
  </si>
  <si>
    <t>21910.16</t>
  </si>
  <si>
    <t>21910.17</t>
  </si>
  <si>
    <t>21910.9</t>
  </si>
  <si>
    <t>22110.02</t>
  </si>
  <si>
    <t>22110.04</t>
  </si>
  <si>
    <t>22110.05</t>
  </si>
  <si>
    <t>22130.01</t>
  </si>
  <si>
    <t>22130.02</t>
  </si>
  <si>
    <t>22130.03</t>
  </si>
  <si>
    <t>22221.01</t>
  </si>
  <si>
    <t>22222.01</t>
  </si>
  <si>
    <t>22222.02</t>
  </si>
  <si>
    <t>22230.03</t>
  </si>
  <si>
    <t>22230.04</t>
  </si>
  <si>
    <t>22241.01</t>
  </si>
  <si>
    <t>22241.02</t>
  </si>
  <si>
    <t>22251.02</t>
  </si>
  <si>
    <t>22251.03</t>
  </si>
  <si>
    <t>23120.01</t>
  </si>
  <si>
    <t>23120.02</t>
  </si>
  <si>
    <t>23120.03</t>
  </si>
  <si>
    <t>23120.04</t>
  </si>
  <si>
    <t>23120.05</t>
  </si>
  <si>
    <t>23120.06</t>
  </si>
  <si>
    <t>23120.1</t>
  </si>
  <si>
    <t>23120.9</t>
  </si>
  <si>
    <t>23140.01</t>
  </si>
  <si>
    <t>23140.02</t>
  </si>
  <si>
    <t>23140.03</t>
  </si>
  <si>
    <t>23140.04</t>
  </si>
  <si>
    <t>23140.05</t>
  </si>
  <si>
    <t>23140.06</t>
  </si>
  <si>
    <t>23140.07</t>
  </si>
  <si>
    <t>23140.08</t>
  </si>
  <si>
    <t>23161.01</t>
  </si>
  <si>
    <t>23161.02</t>
  </si>
  <si>
    <t>23161.03</t>
  </si>
  <si>
    <t>23170.01</t>
  </si>
  <si>
    <t>23170.02</t>
  </si>
  <si>
    <t>23170.03</t>
  </si>
  <si>
    <t>23170.04</t>
  </si>
  <si>
    <t>1359.9</t>
  </si>
  <si>
    <t>23210.06</t>
  </si>
  <si>
    <t>23210.08</t>
  </si>
  <si>
    <t>23220.01</t>
  </si>
  <si>
    <t>23220.02</t>
  </si>
  <si>
    <t>23220.03</t>
  </si>
  <si>
    <t>23220.04</t>
  </si>
  <si>
    <t>23220.05</t>
  </si>
  <si>
    <t>23220.06</t>
  </si>
  <si>
    <t>23230.01</t>
  </si>
  <si>
    <t>23230.02</t>
  </si>
  <si>
    <t>23319.01</t>
  </si>
  <si>
    <t>23319.02</t>
  </si>
  <si>
    <t>23319.03</t>
  </si>
  <si>
    <t>23319.04</t>
  </si>
  <si>
    <t>23319.06</t>
  </si>
  <si>
    <t>23319.08</t>
  </si>
  <si>
    <t>23319.1</t>
  </si>
  <si>
    <t>23319.11</t>
  </si>
  <si>
    <t>23511.02</t>
  </si>
  <si>
    <t>23670.02</t>
  </si>
  <si>
    <t>23993.01</t>
  </si>
  <si>
    <t>23995.02</t>
  </si>
  <si>
    <t>23995.03</t>
  </si>
  <si>
    <t>39120.01</t>
  </si>
  <si>
    <t>39120.02</t>
  </si>
  <si>
    <t>39120.03</t>
  </si>
  <si>
    <t>39120.04</t>
  </si>
  <si>
    <t>39120.05</t>
  </si>
  <si>
    <t>39120.06</t>
  </si>
  <si>
    <t>39120.07</t>
  </si>
  <si>
    <t>39120.08</t>
  </si>
  <si>
    <t>39120.09</t>
  </si>
  <si>
    <t>39120.1</t>
  </si>
  <si>
    <t>39120.11</t>
  </si>
  <si>
    <t>39120.12</t>
  </si>
  <si>
    <t>39120.13</t>
  </si>
  <si>
    <t>39120.14</t>
  </si>
  <si>
    <t>39120.15</t>
  </si>
  <si>
    <t>39120.18</t>
  </si>
  <si>
    <t>39120.91</t>
  </si>
  <si>
    <t>39120.92</t>
  </si>
  <si>
    <t>39130.01</t>
  </si>
  <si>
    <t>39130.02</t>
  </si>
  <si>
    <t>39130.03</t>
  </si>
  <si>
    <t>39130.04</t>
  </si>
  <si>
    <t>39149.01</t>
  </si>
  <si>
    <t>39150.01</t>
  </si>
  <si>
    <t>39150.02</t>
  </si>
  <si>
    <t>39170.01</t>
  </si>
  <si>
    <t>39170.02</t>
  </si>
  <si>
    <t>MLRAPE</t>
  </si>
  <si>
    <t>Data</t>
  </si>
  <si>
    <t>missing</t>
  </si>
  <si>
    <t>available, item missing from SUAS</t>
  </si>
  <si>
    <t>available</t>
  </si>
  <si>
    <t>not applicable</t>
  </si>
  <si>
    <t xml:space="preserve">https://www.feedipedia.org/node/12471 </t>
  </si>
  <si>
    <t>RAPESEED</t>
  </si>
  <si>
    <t>SOY OIL</t>
  </si>
  <si>
    <t>Change</t>
  </si>
  <si>
    <t>Added "Change_LOG".</t>
  </si>
  <si>
    <t>GLEAM3 name "RAPESEED" added to item F81 (Rapeseed or colza seed)</t>
  </si>
  <si>
    <t>GLEAM3 name "SOYOIL" was corrected to "SOY OIL".</t>
  </si>
  <si>
    <t>Date (MM/DD/YY)</t>
  </si>
  <si>
    <t>https://www.feedipedia.org/node/12667</t>
  </si>
  <si>
    <t>Aguinaga, M. A., F. Gómez-Carballar, R. Nieto, and J. F. Aguilera. "Production and composition of Iberian sow's milk and use of milk nutrients by the suckling Iberian piglet." Animal 5, no. 9 (2011): 1390-1397. (assuming 97% from GE to DE, and 96% from DE to ME)</t>
  </si>
  <si>
    <t>Pigs</t>
  </si>
  <si>
    <t>Nayak, C., C. T. Ramachandra, and G. Kumar. "A Comprehensive Review on Composition of Donkey Milk in Comparison to Human, Cow, Buffalo, Sheep, Goat, Camel and Horse Milk." Mysore Journal of Agricultural Sciences 54, no. 3 (2020). | GE=value in kcal*conversion factor from kcal to MJ of 0.004184 | From GE to DE=0.97; From DE to ME=0.96 (Calculated from National Research Council, Committee on Animal Nutrition, &amp; Subcommittee on Dairy Cattle Nutrition. (2001). Nutrient requirements of dairy cattle: 2001. National Academies Press.)</t>
  </si>
  <si>
    <t>Camels</t>
  </si>
  <si>
    <t>Goats</t>
  </si>
  <si>
    <t>Buffalo</t>
  </si>
  <si>
    <t>Source</t>
  </si>
  <si>
    <t>DE_pigs</t>
  </si>
  <si>
    <t>DE_ruminants</t>
  </si>
  <si>
    <t>ME_pigs</t>
  </si>
  <si>
    <t>ME_ruminants</t>
  </si>
  <si>
    <t>GE_MJ/kgDM</t>
  </si>
  <si>
    <t>DM</t>
  </si>
  <si>
    <t>F345</t>
  </si>
  <si>
    <t>Raw milk of pig</t>
  </si>
  <si>
    <t>Data on milk nutritional values by species added to the database, including pig milk. To be used for the juvenile cohort.</t>
  </si>
  <si>
    <t>N_content (% per DM)</t>
  </si>
  <si>
    <t>6.38 Nitrogen content. Source: National Academies of Sciences, Engineering, and Medicine; Division on Earth and Life Studies; Board on Agriculture and Natural Resources; Committee on Nutrient Requirements of Dairy Cattle. Nutrient Requirements of Dairy Cattle: Eighth Revised Edition. Washington (DC): National Academies Press (US); 2021 Aug 30. 3, Energy. Available from: https://www.ncbi.nlm.nih.gov/books/NBK600598/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</si>
</sst>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0_);_(* \(#,##0.0\);_(* &quot;-&quot;??_);_(@_)"/>
    <numFmt numFmtId="165" formatCode="0.0"/>
    <numFmt numFmtId="166" formatCode="_(* #,##0.000000_);_(* \(#,##0.000000\);_(* &quot;-&quot;??_);_(@_)"/>
    <numFmt numFmtId="167" formatCode="0.000000"/>
    <numFmt numFmtId="168" formatCode="_(* #,##0.00000_);_(* \(#,##0.00000\);_(* &quot;-&quot;??_);_(@_)"/>
  </numFmts>
  <fonts count="18" x14ac:knownFonts="1">
    <font>
      <sz val="11"/>
      <color theme="1"/>
      <name val="Calibri"/>
      <family val="2"/>
      <scheme val="minor"/>
    </font>
    <font>
      <b/>
      <sz val="11"/>
      <color theme="1"/>
      <name val="Calibri"/>
      <family val="2"/>
      <scheme val="minor"/>
    </font>
    <font>
      <sz val="11"/>
      <color theme="1"/>
      <name val="Calibri"/>
      <family val="2"/>
      <scheme val="minor"/>
    </font>
    <font>
      <sz val="11"/>
      <color rgb="FF000000"/>
      <name val="Calibri"/>
      <family val="2"/>
      <scheme val="minor"/>
    </font>
    <font>
      <sz val="14"/>
      <color theme="1"/>
      <name val="Calibri"/>
      <family val="2"/>
      <scheme val="minor"/>
    </font>
    <font>
      <u/>
      <sz val="11"/>
      <color theme="10"/>
      <name val="Calibri"/>
      <family val="2"/>
    </font>
    <font>
      <i/>
      <sz val="11"/>
      <color theme="1"/>
      <name val="Calibri"/>
      <family val="2"/>
      <scheme val="minor"/>
    </font>
    <font>
      <sz val="11"/>
      <color rgb="FFFF0000"/>
      <name val="Calibri"/>
      <family val="2"/>
      <scheme val="minor"/>
    </font>
    <font>
      <sz val="11"/>
      <name val="Calibri"/>
      <family val="2"/>
      <scheme val="minor"/>
    </font>
    <font>
      <u/>
      <sz val="11"/>
      <color rgb="FFFF0000"/>
      <name val="Calibri"/>
      <family val="2"/>
    </font>
    <font>
      <sz val="13"/>
      <color rgb="FF000000"/>
      <name val="Arial"/>
      <family val="2"/>
    </font>
    <font>
      <sz val="13"/>
      <color rgb="FF434343"/>
      <name val="Arial"/>
      <family val="2"/>
    </font>
    <font>
      <sz val="14"/>
      <color rgb="FF000000"/>
      <name val="Calibri"/>
      <family val="2"/>
      <scheme val="minor"/>
    </font>
    <font>
      <sz val="12"/>
      <color theme="1"/>
      <name val="Calibri"/>
      <family val="2"/>
      <scheme val="minor"/>
    </font>
    <font>
      <u/>
      <sz val="12"/>
      <color theme="10"/>
      <name val="Calibri"/>
      <family val="2"/>
      <scheme val="minor"/>
    </font>
    <font>
      <sz val="12"/>
      <name val="Calibri"/>
      <family val="2"/>
      <scheme val="minor"/>
    </font>
    <font>
      <sz val="8"/>
      <name val="Calibri"/>
      <family val="2"/>
      <scheme val="minor"/>
    </font>
    <font>
      <sz val="16"/>
      <color rgb="FF1F1F1F"/>
      <name val="Georgia"/>
      <family val="1"/>
    </font>
  </fonts>
  <fills count="8">
    <fill>
      <patternFill patternType="none"/>
    </fill>
    <fill>
      <patternFill patternType="gray125"/>
    </fill>
    <fill>
      <patternFill patternType="solid">
        <fgColor rgb="FFFFFF00"/>
        <bgColor indexed="64"/>
      </patternFill>
    </fill>
    <fill>
      <patternFill patternType="solid">
        <fgColor theme="7"/>
        <bgColor indexed="64"/>
      </patternFill>
    </fill>
    <fill>
      <patternFill patternType="solid">
        <fgColor theme="7" tint="0.79998168889431442"/>
        <bgColor indexed="64"/>
      </patternFill>
    </fill>
    <fill>
      <patternFill patternType="solid">
        <fgColor rgb="FFFF0000"/>
        <bgColor indexed="64"/>
      </patternFill>
    </fill>
    <fill>
      <patternFill patternType="solid">
        <fgColor rgb="FFFFC000"/>
        <bgColor indexed="64"/>
      </patternFill>
    </fill>
    <fill>
      <patternFill patternType="solid">
        <fgColor theme="0"/>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2" fillId="0" borderId="0" applyFont="0" applyFill="0" applyBorder="0" applyAlignment="0" applyProtection="0"/>
    <xf numFmtId="0" fontId="5" fillId="0" borderId="0" applyNumberFormat="0" applyFill="0" applyBorder="0" applyAlignment="0" applyProtection="0">
      <alignment vertical="top"/>
      <protection locked="0"/>
    </xf>
    <xf numFmtId="0" fontId="13" fillId="0" borderId="0"/>
    <xf numFmtId="43" fontId="13" fillId="0" borderId="0" applyFont="0" applyFill="0" applyBorder="0" applyAlignment="0" applyProtection="0"/>
    <xf numFmtId="0" fontId="14" fillId="0" borderId="0" applyNumberFormat="0" applyFill="0" applyBorder="0" applyAlignment="0" applyProtection="0"/>
  </cellStyleXfs>
  <cellXfs count="85">
    <xf numFmtId="0" fontId="0" fillId="0" borderId="0" xfId="0"/>
    <xf numFmtId="164" fontId="0" fillId="0" borderId="0" xfId="1" applyNumberFormat="1" applyFont="1"/>
    <xf numFmtId="0" fontId="4" fillId="0" borderId="0" xfId="0" applyFont="1" applyAlignment="1">
      <alignment vertical="top"/>
    </xf>
    <xf numFmtId="0" fontId="0" fillId="0" borderId="1" xfId="0" applyBorder="1" applyAlignment="1">
      <alignment vertical="top"/>
    </xf>
    <xf numFmtId="0" fontId="5" fillId="0" borderId="0" xfId="2" applyAlignment="1" applyProtection="1"/>
    <xf numFmtId="0" fontId="6" fillId="0" borderId="0" xfId="0" applyFont="1"/>
    <xf numFmtId="165" fontId="6" fillId="0" borderId="0" xfId="0" applyNumberFormat="1" applyFont="1"/>
    <xf numFmtId="0" fontId="7" fillId="0" borderId="0" xfId="0" applyFont="1"/>
    <xf numFmtId="0" fontId="0" fillId="0" borderId="0" xfId="0" applyAlignment="1">
      <alignment horizontal="center"/>
    </xf>
    <xf numFmtId="0" fontId="8" fillId="0" borderId="0" xfId="0" applyFont="1"/>
    <xf numFmtId="165" fontId="0" fillId="0" borderId="0" xfId="0" applyNumberFormat="1"/>
    <xf numFmtId="43" fontId="0" fillId="0" borderId="0" xfId="1" applyFont="1"/>
    <xf numFmtId="0" fontId="4" fillId="0" borderId="0" xfId="0" applyFont="1"/>
    <xf numFmtId="0" fontId="9" fillId="0" borderId="0" xfId="2" applyFont="1" applyFill="1" applyBorder="1" applyAlignment="1" applyProtection="1"/>
    <xf numFmtId="0" fontId="10" fillId="0" borderId="0" xfId="0" applyFont="1"/>
    <xf numFmtId="2" fontId="6" fillId="0" borderId="0" xfId="0" applyNumberFormat="1" applyFont="1"/>
    <xf numFmtId="0" fontId="3" fillId="0" borderId="0" xfId="0" applyFont="1"/>
    <xf numFmtId="2" fontId="0" fillId="0" borderId="2" xfId="0" applyNumberFormat="1" applyBorder="1"/>
    <xf numFmtId="0" fontId="0" fillId="0" borderId="2" xfId="0" applyBorder="1"/>
    <xf numFmtId="0" fontId="11" fillId="0" borderId="0" xfId="0" applyFont="1"/>
    <xf numFmtId="0" fontId="12" fillId="0" borderId="0" xfId="0" applyFont="1" applyAlignment="1">
      <alignment vertical="top"/>
    </xf>
    <xf numFmtId="0" fontId="3" fillId="0" borderId="0" xfId="0" applyFont="1" applyAlignment="1">
      <alignment horizontal="center"/>
    </xf>
    <xf numFmtId="0" fontId="3" fillId="0" borderId="1" xfId="0" applyFont="1" applyBorder="1" applyAlignment="1">
      <alignment vertical="top"/>
    </xf>
    <xf numFmtId="0" fontId="3" fillId="0" borderId="0" xfId="0" applyFont="1" applyAlignment="1">
      <alignment vertical="top"/>
    </xf>
    <xf numFmtId="0" fontId="13" fillId="0" borderId="0" xfId="3"/>
    <xf numFmtId="2" fontId="13" fillId="0" borderId="0" xfId="3" applyNumberFormat="1"/>
    <xf numFmtId="166" fontId="0" fillId="0" borderId="0" xfId="4" applyNumberFormat="1" applyFont="1"/>
    <xf numFmtId="0" fontId="11" fillId="0" borderId="0" xfId="3" applyFont="1"/>
    <xf numFmtId="0" fontId="13" fillId="3" borderId="2" xfId="3" applyFill="1" applyBorder="1"/>
    <xf numFmtId="2" fontId="13" fillId="3" borderId="2" xfId="3" applyNumberFormat="1" applyFill="1" applyBorder="1"/>
    <xf numFmtId="166" fontId="0" fillId="3" borderId="2" xfId="4" applyNumberFormat="1" applyFont="1" applyFill="1" applyBorder="1"/>
    <xf numFmtId="0" fontId="13" fillId="0" borderId="2" xfId="3" applyBorder="1"/>
    <xf numFmtId="2" fontId="13" fillId="0" borderId="2" xfId="3" applyNumberFormat="1" applyBorder="1"/>
    <xf numFmtId="166" fontId="0" fillId="0" borderId="2" xfId="4" applyNumberFormat="1" applyFont="1" applyBorder="1"/>
    <xf numFmtId="0" fontId="14" fillId="0" borderId="2" xfId="5" applyFill="1" applyBorder="1"/>
    <xf numFmtId="0" fontId="14" fillId="0" borderId="2" xfId="5" applyBorder="1"/>
    <xf numFmtId="0" fontId="13" fillId="0" borderId="3" xfId="3" applyBorder="1"/>
    <xf numFmtId="0" fontId="13" fillId="2" borderId="2" xfId="3" applyFill="1" applyBorder="1"/>
    <xf numFmtId="0" fontId="13" fillId="4" borderId="2" xfId="3" applyFill="1" applyBorder="1"/>
    <xf numFmtId="2" fontId="13" fillId="4" borderId="2" xfId="3" applyNumberFormat="1" applyFill="1" applyBorder="1"/>
    <xf numFmtId="166" fontId="0" fillId="4" borderId="2" xfId="4" applyNumberFormat="1" applyFont="1" applyFill="1" applyBorder="1"/>
    <xf numFmtId="166" fontId="0" fillId="0" borderId="2" xfId="4" applyNumberFormat="1" applyFont="1" applyFill="1" applyBorder="1"/>
    <xf numFmtId="0" fontId="13" fillId="5" borderId="2" xfId="3" applyFill="1" applyBorder="1"/>
    <xf numFmtId="2" fontId="13" fillId="5" borderId="2" xfId="3" applyNumberFormat="1" applyFill="1" applyBorder="1"/>
    <xf numFmtId="166" fontId="0" fillId="5" borderId="2" xfId="4" applyNumberFormat="1" applyFont="1" applyFill="1" applyBorder="1"/>
    <xf numFmtId="164" fontId="0" fillId="0" borderId="2" xfId="4" applyNumberFormat="1" applyFont="1" applyFill="1" applyBorder="1"/>
    <xf numFmtId="2" fontId="15" fillId="0" borderId="2" xfId="3" applyNumberFormat="1" applyFont="1" applyBorder="1"/>
    <xf numFmtId="0" fontId="14" fillId="4" borderId="2" xfId="5" applyFill="1" applyBorder="1"/>
    <xf numFmtId="0" fontId="15" fillId="0" borderId="2" xfId="3" applyFont="1" applyBorder="1"/>
    <xf numFmtId="166" fontId="15" fillId="0" borderId="2" xfId="4" applyNumberFormat="1" applyFont="1" applyBorder="1"/>
    <xf numFmtId="0" fontId="15" fillId="0" borderId="3" xfId="3" applyFont="1" applyBorder="1"/>
    <xf numFmtId="0" fontId="13" fillId="3" borderId="3" xfId="3" applyFill="1" applyBorder="1"/>
    <xf numFmtId="0" fontId="5" fillId="0" borderId="2" xfId="2" applyBorder="1" applyAlignment="1" applyProtection="1"/>
    <xf numFmtId="43" fontId="13" fillId="0" borderId="2" xfId="1" applyFont="1" applyBorder="1"/>
    <xf numFmtId="0" fontId="5" fillId="0" borderId="2" xfId="2" applyFill="1" applyBorder="1" applyAlignment="1" applyProtection="1"/>
    <xf numFmtId="164" fontId="13" fillId="0" borderId="2" xfId="1" applyNumberFormat="1" applyFont="1" applyFill="1" applyBorder="1"/>
    <xf numFmtId="43" fontId="13" fillId="0" borderId="2" xfId="1" applyFont="1" applyFill="1" applyBorder="1"/>
    <xf numFmtId="0" fontId="13" fillId="4" borderId="3" xfId="3" applyFill="1" applyBorder="1"/>
    <xf numFmtId="0" fontId="15" fillId="0" borderId="0" xfId="3" applyFont="1"/>
    <xf numFmtId="165" fontId="6" fillId="0" borderId="0" xfId="3" applyNumberFormat="1" applyFont="1"/>
    <xf numFmtId="0" fontId="10" fillId="0" borderId="0" xfId="3" applyFont="1"/>
    <xf numFmtId="0" fontId="13" fillId="6" borderId="3" xfId="3" applyFill="1" applyBorder="1"/>
    <xf numFmtId="167" fontId="13" fillId="0" borderId="2" xfId="3" applyNumberFormat="1" applyBorder="1"/>
    <xf numFmtId="168" fontId="13" fillId="0" borderId="2" xfId="1" applyNumberFormat="1" applyFont="1" applyBorder="1"/>
    <xf numFmtId="2" fontId="0" fillId="0" borderId="2" xfId="4" applyNumberFormat="1" applyFont="1" applyFill="1" applyBorder="1"/>
    <xf numFmtId="2" fontId="13" fillId="0" borderId="2" xfId="1" applyNumberFormat="1" applyFont="1" applyBorder="1"/>
    <xf numFmtId="49" fontId="13" fillId="0" borderId="2" xfId="3" applyNumberFormat="1" applyBorder="1"/>
    <xf numFmtId="49" fontId="13" fillId="0" borderId="0" xfId="3" applyNumberFormat="1"/>
    <xf numFmtId="49" fontId="13" fillId="4" borderId="2" xfId="3" applyNumberFormat="1" applyFill="1" applyBorder="1"/>
    <xf numFmtId="49" fontId="13" fillId="3" borderId="2" xfId="3" applyNumberFormat="1" applyFill="1" applyBorder="1"/>
    <xf numFmtId="49" fontId="15" fillId="0" borderId="2" xfId="3" applyNumberFormat="1" applyFont="1" applyBorder="1"/>
    <xf numFmtId="49" fontId="13" fillId="0" borderId="0" xfId="3" quotePrefix="1" applyNumberFormat="1"/>
    <xf numFmtId="49" fontId="13" fillId="5" borderId="2" xfId="3" applyNumberFormat="1" applyFill="1" applyBorder="1"/>
    <xf numFmtId="0" fontId="1" fillId="0" borderId="0" xfId="0" applyFont="1"/>
    <xf numFmtId="14" fontId="0" fillId="0" borderId="0" xfId="0" applyNumberFormat="1"/>
    <xf numFmtId="0" fontId="17" fillId="0" borderId="0" xfId="3" applyFont="1"/>
    <xf numFmtId="0" fontId="13" fillId="7" borderId="3" xfId="3" applyFill="1" applyBorder="1"/>
    <xf numFmtId="0" fontId="13" fillId="7" borderId="2" xfId="3" applyFill="1" applyBorder="1"/>
    <xf numFmtId="49" fontId="13" fillId="7" borderId="2" xfId="3" applyNumberFormat="1" applyFill="1" applyBorder="1"/>
    <xf numFmtId="2" fontId="13" fillId="7" borderId="2" xfId="3" applyNumberFormat="1" applyFill="1" applyBorder="1"/>
    <xf numFmtId="0" fontId="11" fillId="0" borderId="2" xfId="3" applyFont="1" applyBorder="1"/>
    <xf numFmtId="49" fontId="11" fillId="0" borderId="2" xfId="3" applyNumberFormat="1" applyFont="1" applyBorder="1"/>
    <xf numFmtId="0" fontId="0" fillId="0" borderId="0" xfId="0" applyAlignment="1">
      <alignment horizontal="center"/>
    </xf>
    <xf numFmtId="0" fontId="3" fillId="0" borderId="0" xfId="0" applyFont="1" applyAlignment="1">
      <alignment horizontal="center"/>
    </xf>
    <xf numFmtId="166" fontId="0" fillId="7" borderId="2" xfId="4" applyNumberFormat="1" applyFont="1" applyFill="1" applyBorder="1"/>
  </cellXfs>
  <cellStyles count="6">
    <cellStyle name="Comma" xfId="1" builtinId="3"/>
    <cellStyle name="Comma 2" xfId="4" xr:uid="{D4012CA2-0774-4BB5-9161-4303B6EC44F3}"/>
    <cellStyle name="Hyperlink" xfId="2" builtinId="8"/>
    <cellStyle name="Hyperlink 2" xfId="5" xr:uid="{34F92EFD-AF57-448D-A428-D24D723E8A9A}"/>
    <cellStyle name="Normal" xfId="0" builtinId="0"/>
    <cellStyle name="Normal 2" xfId="3" xr:uid="{5576E009-4AD3-4FD6-A9FF-CC561118C030}"/>
  </cellStyles>
  <dxfs count="1">
    <dxf>
      <fill>
        <patternFill patternType="solid">
          <fgColor rgb="FFFF00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theme" Target="theme/theme1.xml"/><Relationship Id="rId58"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customXml" Target="../customXml/item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microsoft.com/office/2017/10/relationships/person" Target="persons/perso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s>
</file>

<file path=xl/persons/person.xml><?xml version="1.0" encoding="utf-8"?>
<personList xmlns="http://schemas.microsoft.com/office/spreadsheetml/2018/threadedcomments" xmlns:x="http://schemas.openxmlformats.org/spreadsheetml/2006/main">
  <person displayName="cristiana poggi" id="{AD13F95A-35B7-446E-AA93-053F44E539CA}" userId="S::cristiana.poggi@uniroma1.it::38394eff-8dbc-411a-bfe7-0d97c90af3f2"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Feed_list_merged_1" connectionId="1" xr16:uid="{94B7D6FC-80E3-2049-9D1C-1A95DD30789F}"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40" dT="2023-11-10T16:43:02.36" personId="{AD13F95A-35B7-446E-AA93-053F44E539CA}" id="{34E43497-B2C3-4BD8-9B1E-3E453A759511}">
    <text>item code not in FAOSTAT</text>
  </threadedComment>
  <threadedComment ref="F148" dT="2023-11-10T18:10:19.41" personId="{AD13F95A-35B7-446E-AA93-053F44E539CA}" id="{7492EA1B-269A-4DD3-901A-45315255FB4D}">
    <text>same item number</text>
  </threadedComment>
  <threadedComment ref="F184" dT="2023-11-13T10:05:52.30" personId="{AD13F95A-35B7-446E-AA93-053F44E539CA}" id="{24B367E7-9FE2-450F-8A04-B0286CC6B29F}">
    <text>not sure if it is correct  poultry offal meal</text>
  </threadedComment>
  <threadedComment ref="F188" dT="2023-11-14T17:33:29.14" personId="{AD13F95A-35B7-446E-AA93-053F44E539CA}" id="{80DC9BCF-0E83-40AE-BA51-81BE88992B32}">
    <text>Wrong item code CPC</text>
  </threadedComment>
  <threadedComment ref="J189" dT="2023-11-02T18:38:19.51" personId="{AD13F95A-35B7-446E-AA93-053F44E539CA}" id="{A279700E-42B5-4355-8FC7-66A046E15082}">
    <text>not sure that it means this… bot confused with potatoes</text>
  </threadedComment>
  <threadedComment ref="F257" dT="2023-11-14T12:20:48.99" personId="{AD13F95A-35B7-446E-AA93-053F44E539CA}" id="{6DCEE404-0CE5-4B8A-B439-24A2894FB0D2}">
    <text xml:space="preserve">not sure what is it </text>
  </threadedComment>
  <threadedComment ref="F296" dT="2023-11-10T17:44:29.28" personId="{AD13F95A-35B7-446E-AA93-053F44E539CA}" id="{D63E9B79-E3CE-481F-9407-7EFDCF0E3379}">
    <text>same item code cpc</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s://www.feedipedia.org/node/16591" TargetMode="External"/><Relationship Id="rId21" Type="http://schemas.openxmlformats.org/officeDocument/2006/relationships/hyperlink" Target="https://www.feedipedia.org/node/19701" TargetMode="External"/><Relationship Id="rId34" Type="http://schemas.openxmlformats.org/officeDocument/2006/relationships/hyperlink" Target="https://www.feedipedia.org/node/12220" TargetMode="External"/><Relationship Id="rId42" Type="http://schemas.openxmlformats.org/officeDocument/2006/relationships/hyperlink" Target="https://www.feedipedia.org/node/229" TargetMode="External"/><Relationship Id="rId47" Type="http://schemas.openxmlformats.org/officeDocument/2006/relationships/hyperlink" Target="https://www.feedipedia.org/node/530" TargetMode="External"/><Relationship Id="rId50" Type="http://schemas.openxmlformats.org/officeDocument/2006/relationships/hyperlink" Target="https://www.feedipedia.org/node/24397" TargetMode="External"/><Relationship Id="rId55" Type="http://schemas.openxmlformats.org/officeDocument/2006/relationships/hyperlink" Target="https://www.feedipedia.org/node/22236" TargetMode="External"/><Relationship Id="rId63" Type="http://schemas.openxmlformats.org/officeDocument/2006/relationships/queryTable" Target="../queryTables/queryTable1.xml"/><Relationship Id="rId7" Type="http://schemas.openxmlformats.org/officeDocument/2006/relationships/hyperlink" Target="https://www.feedipedia.org/node/25610" TargetMode="External"/><Relationship Id="rId2" Type="http://schemas.openxmlformats.org/officeDocument/2006/relationships/hyperlink" Target="https://www.feedipedia.org/node/11830" TargetMode="External"/><Relationship Id="rId16" Type="http://schemas.openxmlformats.org/officeDocument/2006/relationships/hyperlink" Target="https://www.feedipedia.org/node/12006" TargetMode="External"/><Relationship Id="rId29" Type="http://schemas.openxmlformats.org/officeDocument/2006/relationships/hyperlink" Target="https://www.feedtables.com/content/mustard-bran" TargetMode="External"/><Relationship Id="rId11" Type="http://schemas.openxmlformats.org/officeDocument/2006/relationships/hyperlink" Target="https://www.feedtables.com/content/bananas-immature-dried" TargetMode="External"/><Relationship Id="rId24" Type="http://schemas.openxmlformats.org/officeDocument/2006/relationships/hyperlink" Target="https://www.feedipedia.org/node/329" TargetMode="External"/><Relationship Id="rId32" Type="http://schemas.openxmlformats.org/officeDocument/2006/relationships/hyperlink" Target="https://www.feedipedia.org/node/12287" TargetMode="External"/><Relationship Id="rId37" Type="http://schemas.openxmlformats.org/officeDocument/2006/relationships/hyperlink" Target="https://www.feedipedia.org/node/12341" TargetMode="External"/><Relationship Id="rId40" Type="http://schemas.openxmlformats.org/officeDocument/2006/relationships/hyperlink" Target="https://www.feedipedia.org/node/26044" TargetMode="External"/><Relationship Id="rId45" Type="http://schemas.openxmlformats.org/officeDocument/2006/relationships/hyperlink" Target="http://www.feedipedia.org/node/11646" TargetMode="External"/><Relationship Id="rId53" Type="http://schemas.openxmlformats.org/officeDocument/2006/relationships/hyperlink" Target="https://www.feedipedia.org/node/12308" TargetMode="External"/><Relationship Id="rId58" Type="http://schemas.openxmlformats.org/officeDocument/2006/relationships/hyperlink" Target="https://www.feedtables.com/content/grass-dehydrated" TargetMode="External"/><Relationship Id="rId5" Type="http://schemas.openxmlformats.org/officeDocument/2006/relationships/hyperlink" Target="https://www.feedipedia.org/node/12389" TargetMode="External"/><Relationship Id="rId61" Type="http://schemas.openxmlformats.org/officeDocument/2006/relationships/hyperlink" Target="https://www.feedipedia.org/node/12667" TargetMode="External"/><Relationship Id="rId19" Type="http://schemas.openxmlformats.org/officeDocument/2006/relationships/hyperlink" Target="https://www.feedipedia.org/node/11976" TargetMode="External"/><Relationship Id="rId14" Type="http://schemas.openxmlformats.org/officeDocument/2006/relationships/hyperlink" Target="https://www.feedipedia.org/node/12577" TargetMode="External"/><Relationship Id="rId22" Type="http://schemas.openxmlformats.org/officeDocument/2006/relationships/hyperlink" Target="https://www.feedipedia.org/node/12250" TargetMode="External"/><Relationship Id="rId27" Type="http://schemas.openxmlformats.org/officeDocument/2006/relationships/hyperlink" Target="https://www.feedipedia.org/node/11940" TargetMode="External"/><Relationship Id="rId30" Type="http://schemas.openxmlformats.org/officeDocument/2006/relationships/hyperlink" Target="https://www.feedtables.com/content/table-feed-profile?feed_pr_id=12425" TargetMode="External"/><Relationship Id="rId35" Type="http://schemas.openxmlformats.org/officeDocument/2006/relationships/hyperlink" Target="https://www.feedipedia.org/node/12541" TargetMode="External"/><Relationship Id="rId43" Type="http://schemas.openxmlformats.org/officeDocument/2006/relationships/hyperlink" Target="https://www.feedipedia.org/node/264" TargetMode="External"/><Relationship Id="rId48" Type="http://schemas.openxmlformats.org/officeDocument/2006/relationships/hyperlink" Target="https://www.feedipedia.org/node/12164" TargetMode="External"/><Relationship Id="rId56" Type="http://schemas.openxmlformats.org/officeDocument/2006/relationships/hyperlink" Target="http://www.feedipedia.org/node/558" TargetMode="External"/><Relationship Id="rId64" Type="http://schemas.openxmlformats.org/officeDocument/2006/relationships/comments" Target="../comments1.xml"/><Relationship Id="rId8" Type="http://schemas.openxmlformats.org/officeDocument/2006/relationships/hyperlink" Target="https://www.feedipedia.org/node/25140" TargetMode="External"/><Relationship Id="rId51" Type="http://schemas.openxmlformats.org/officeDocument/2006/relationships/hyperlink" Target="https://www.feedipedia.org/node/26046" TargetMode="External"/><Relationship Id="rId3" Type="http://schemas.openxmlformats.org/officeDocument/2006/relationships/hyperlink" Target="https://www.feedipedia.org/node/227" TargetMode="External"/><Relationship Id="rId12" Type="http://schemas.openxmlformats.org/officeDocument/2006/relationships/hyperlink" Target="https://www.feedipedia.org/node/12625" TargetMode="External"/><Relationship Id="rId17" Type="http://schemas.openxmlformats.org/officeDocument/2006/relationships/hyperlink" Target="https://www.feedipedia.org/node/12005" TargetMode="External"/><Relationship Id="rId25" Type="http://schemas.openxmlformats.org/officeDocument/2006/relationships/hyperlink" Target="https://www.feedipedia.org/node/531" TargetMode="External"/><Relationship Id="rId33" Type="http://schemas.openxmlformats.org/officeDocument/2006/relationships/hyperlink" Target="https://www.feedipedia.org/node/24378" TargetMode="External"/><Relationship Id="rId38" Type="http://schemas.openxmlformats.org/officeDocument/2006/relationships/hyperlink" Target="https://www.feedipedia.org/node/12340" TargetMode="External"/><Relationship Id="rId46" Type="http://schemas.openxmlformats.org/officeDocument/2006/relationships/hyperlink" Target="https://www.feedipedia.org/node/11672" TargetMode="External"/><Relationship Id="rId59" Type="http://schemas.openxmlformats.org/officeDocument/2006/relationships/hyperlink" Target="https://www.feedipedia.org/node/223" TargetMode="External"/><Relationship Id="rId20" Type="http://schemas.openxmlformats.org/officeDocument/2006/relationships/hyperlink" Target="https://www.feedipedia.org/node/17358" TargetMode="External"/><Relationship Id="rId41" Type="http://schemas.openxmlformats.org/officeDocument/2006/relationships/hyperlink" Target="https://www.feedipedia.org/node/12840" TargetMode="External"/><Relationship Id="rId54" Type="http://schemas.openxmlformats.org/officeDocument/2006/relationships/hyperlink" Target="https://www.feedipedia.org/node/12280" TargetMode="External"/><Relationship Id="rId62" Type="http://schemas.openxmlformats.org/officeDocument/2006/relationships/vmlDrawing" Target="../drawings/vmlDrawing1.vml"/><Relationship Id="rId1" Type="http://schemas.openxmlformats.org/officeDocument/2006/relationships/hyperlink" Target="http://www.feedipedia.org/node/12618" TargetMode="External"/><Relationship Id="rId6" Type="http://schemas.openxmlformats.org/officeDocument/2006/relationships/hyperlink" Target="https://www.feedipedia.org/node/12391" TargetMode="External"/><Relationship Id="rId15" Type="http://schemas.openxmlformats.org/officeDocument/2006/relationships/hyperlink" Target="https://www.feedipedia.org/node/12552" TargetMode="External"/><Relationship Id="rId23" Type="http://schemas.openxmlformats.org/officeDocument/2006/relationships/hyperlink" Target="https://www.feedipedia.org/node/11572" TargetMode="External"/><Relationship Id="rId28" Type="http://schemas.openxmlformats.org/officeDocument/2006/relationships/hyperlink" Target="https://www.feedtables.com/content/table-feed-profile?feed_pr_id=12394" TargetMode="External"/><Relationship Id="rId36" Type="http://schemas.openxmlformats.org/officeDocument/2006/relationships/hyperlink" Target="https://www.feedipedia.org/node/12526" TargetMode="External"/><Relationship Id="rId49" Type="http://schemas.openxmlformats.org/officeDocument/2006/relationships/hyperlink" Target="https://www.feedipedia.org/node/11996" TargetMode="External"/><Relationship Id="rId57" Type="http://schemas.openxmlformats.org/officeDocument/2006/relationships/hyperlink" Target="https://www.feedipedia.org/node/14464" TargetMode="External"/><Relationship Id="rId10" Type="http://schemas.openxmlformats.org/officeDocument/2006/relationships/hyperlink" Target="https://www.feedtables.com/content/common-bean" TargetMode="External"/><Relationship Id="rId31" Type="http://schemas.openxmlformats.org/officeDocument/2006/relationships/hyperlink" Target="https://www.feedipedia.org/node/715" TargetMode="External"/><Relationship Id="rId44" Type="http://schemas.openxmlformats.org/officeDocument/2006/relationships/hyperlink" Target="https://www.feedtables.com/content/common-vetch" TargetMode="External"/><Relationship Id="rId52" Type="http://schemas.openxmlformats.org/officeDocument/2006/relationships/hyperlink" Target="https://www.feedipedia.org/node/22380" TargetMode="External"/><Relationship Id="rId60" Type="http://schemas.openxmlformats.org/officeDocument/2006/relationships/hyperlink" Target="https://www.feedipedia.org/node/12471" TargetMode="External"/><Relationship Id="rId65" Type="http://schemas.microsoft.com/office/2017/10/relationships/threadedComment" Target="../threadedComments/threadedComment1.xml"/><Relationship Id="rId4" Type="http://schemas.openxmlformats.org/officeDocument/2006/relationships/hyperlink" Target="https://www.feedipedia.org/node/14205" TargetMode="External"/><Relationship Id="rId9" Type="http://schemas.openxmlformats.org/officeDocument/2006/relationships/hyperlink" Target="https://www.feedipedia.org/node/60" TargetMode="External"/><Relationship Id="rId13" Type="http://schemas.openxmlformats.org/officeDocument/2006/relationships/hyperlink" Target="https://www.feedtables.com/content/soybean-oil" TargetMode="External"/><Relationship Id="rId18" Type="http://schemas.openxmlformats.org/officeDocument/2006/relationships/hyperlink" Target="https://www.feedipedia.org/node/19703" TargetMode="External"/><Relationship Id="rId39" Type="http://schemas.openxmlformats.org/officeDocument/2006/relationships/hyperlink" Target="https://www.feedipedia.org/node/460"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ncbi.nlm.nih.gov/books/NBK600598/"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www.feedipedia.org/node/14541" TargetMode="External"/><Relationship Id="rId1" Type="http://schemas.openxmlformats.org/officeDocument/2006/relationships/hyperlink" Target="https://www.feedipedia.org/node/12480"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www.feedipedia.org/node/12401" TargetMode="External"/><Relationship Id="rId1" Type="http://schemas.openxmlformats.org/officeDocument/2006/relationships/hyperlink" Target="https://www.feedipedia.org/node/12400"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www.feedipedia.org/node/12870" TargetMode="External"/><Relationship Id="rId2" Type="http://schemas.openxmlformats.org/officeDocument/2006/relationships/hyperlink" Target="https://www.feedipedia.org/node/12871" TargetMode="External"/><Relationship Id="rId1" Type="http://schemas.openxmlformats.org/officeDocument/2006/relationships/hyperlink" Target="https://www.feedipedia.org/node/12869" TargetMode="External"/><Relationship Id="rId5" Type="http://schemas.openxmlformats.org/officeDocument/2006/relationships/printerSettings" Target="../printerSettings/printerSettings1.bin"/><Relationship Id="rId4" Type="http://schemas.openxmlformats.org/officeDocument/2006/relationships/hyperlink" Target="https://www.feedipedia.org/node/12872"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www.feedipedia.org/node/12874" TargetMode="External"/><Relationship Id="rId1" Type="http://schemas.openxmlformats.org/officeDocument/2006/relationships/hyperlink" Target="http://www.feedipedia.org/node/12873"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www.feedipedia.org/node/12442" TargetMode="External"/><Relationship Id="rId2" Type="http://schemas.openxmlformats.org/officeDocument/2006/relationships/hyperlink" Target="http://www.feedipedia.org/node/12092" TargetMode="External"/><Relationship Id="rId1" Type="http://schemas.openxmlformats.org/officeDocument/2006/relationships/hyperlink" Target="http://www.feedipedia.org/node/12009" TargetMode="External"/><Relationship Id="rId4" Type="http://schemas.openxmlformats.org/officeDocument/2006/relationships/hyperlink" Target="http://www.feedipedia.org/node/12091" TargetMode="External"/></Relationships>
</file>

<file path=xl/worksheets/_rels/sheet10.xml.rels><?xml version="1.0" encoding="UTF-8" standalone="yes"?>
<Relationships xmlns="http://schemas.openxmlformats.org/package/2006/relationships"><Relationship Id="rId2" Type="http://schemas.openxmlformats.org/officeDocument/2006/relationships/hyperlink" Target="https://www.feedipedia.org/node/11909" TargetMode="External"/><Relationship Id="rId1" Type="http://schemas.openxmlformats.org/officeDocument/2006/relationships/hyperlink" Target="https://www.feedipedia.org/node/11910"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www.feedipedia.org/node/11817" TargetMode="External"/><Relationship Id="rId2" Type="http://schemas.openxmlformats.org/officeDocument/2006/relationships/hyperlink" Target="https://www.feedipedia.org/node/12462" TargetMode="External"/><Relationship Id="rId1" Type="http://schemas.openxmlformats.org/officeDocument/2006/relationships/hyperlink" Target="https://www.feedipedia.org/node/11816" TargetMode="External"/><Relationship Id="rId4" Type="http://schemas.openxmlformats.org/officeDocument/2006/relationships/hyperlink" Target="https://www.feedipedia.org/node/11818"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www.feedipedia.org/node/12415" TargetMode="External"/></Relationships>
</file>

<file path=xl/worksheets/_rels/sheet26.xml.rels><?xml version="1.0" encoding="UTF-8" standalone="yes"?>
<Relationships xmlns="http://schemas.openxmlformats.org/package/2006/relationships"><Relationship Id="rId3" Type="http://schemas.openxmlformats.org/officeDocument/2006/relationships/hyperlink" Target="https://www.feedipedia.org/node/23097" TargetMode="External"/><Relationship Id="rId2" Type="http://schemas.openxmlformats.org/officeDocument/2006/relationships/hyperlink" Target="https://www.feedipedia.org/node/12275" TargetMode="External"/><Relationship Id="rId1" Type="http://schemas.openxmlformats.org/officeDocument/2006/relationships/hyperlink" Target="https://www.feedipedia.org/node/12271"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https://www.feedipedia.org/node/11536" TargetMode="External"/></Relationships>
</file>

<file path=xl/worksheets/_rels/sheet33.xml.rels><?xml version="1.0" encoding="UTF-8" standalone="yes"?>
<Relationships xmlns="http://schemas.openxmlformats.org/package/2006/relationships"><Relationship Id="rId2" Type="http://schemas.openxmlformats.org/officeDocument/2006/relationships/hyperlink" Target="http://www.feedipedia.org/node/556" TargetMode="External"/><Relationship Id="rId1" Type="http://schemas.openxmlformats.org/officeDocument/2006/relationships/hyperlink" Target="http://www.feedipedia.org/node/556" TargetMode="External"/></Relationships>
</file>

<file path=xl/worksheets/_rels/sheet34.xml.rels><?xml version="1.0" encoding="UTF-8" standalone="yes"?>
<Relationships xmlns="http://schemas.openxmlformats.org/package/2006/relationships"><Relationship Id="rId3" Type="http://schemas.openxmlformats.org/officeDocument/2006/relationships/hyperlink" Target="https://www.feedipedia.org/node/725" TargetMode="External"/><Relationship Id="rId2" Type="http://schemas.openxmlformats.org/officeDocument/2006/relationships/hyperlink" Target="https://www.feedipedia.org/node/724" TargetMode="External"/><Relationship Id="rId1" Type="http://schemas.openxmlformats.org/officeDocument/2006/relationships/hyperlink" Target="https://www.feedipedia.org/node/721" TargetMode="External"/><Relationship Id="rId4" Type="http://schemas.openxmlformats.org/officeDocument/2006/relationships/hyperlink" Target="https://www.feedipedia.org/node/722" TargetMode="External"/></Relationships>
</file>

<file path=xl/worksheets/_rels/sheet35.xml.rels><?xml version="1.0" encoding="UTF-8" standalone="yes"?>
<Relationships xmlns="http://schemas.openxmlformats.org/package/2006/relationships"><Relationship Id="rId2" Type="http://schemas.openxmlformats.org/officeDocument/2006/relationships/hyperlink" Target="https://www.feedipedia.org/node/26068" TargetMode="External"/><Relationship Id="rId1" Type="http://schemas.openxmlformats.org/officeDocument/2006/relationships/hyperlink" Target="https://www.feedipedia.org/node/11683" TargetMode="External"/></Relationships>
</file>

<file path=xl/worksheets/_rels/sheet36.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feedipedia.org/node/12263" TargetMode="External"/><Relationship Id="rId1" Type="http://schemas.openxmlformats.org/officeDocument/2006/relationships/hyperlink" Target="https://www.feedipedia.org/node/12262" TargetMode="External"/></Relationships>
</file>

<file path=xl/worksheets/_rels/sheet37.xml.rels><?xml version="1.0" encoding="UTF-8" standalone="yes"?>
<Relationships xmlns="http://schemas.openxmlformats.org/package/2006/relationships"><Relationship Id="rId2" Type="http://schemas.openxmlformats.org/officeDocument/2006/relationships/hyperlink" Target="https://www.feedipedia.org/node/11998" TargetMode="External"/><Relationship Id="rId1" Type="http://schemas.openxmlformats.org/officeDocument/2006/relationships/hyperlink" Target="https://www.feedipedia.org/node/11997" TargetMode="External"/></Relationships>
</file>

<file path=xl/worksheets/_rels/sheet38.xml.rels><?xml version="1.0" encoding="UTF-8" standalone="yes"?>
<Relationships xmlns="http://schemas.openxmlformats.org/package/2006/relationships"><Relationship Id="rId3" Type="http://schemas.openxmlformats.org/officeDocument/2006/relationships/hyperlink" Target="https://www.feedipedia.org/node/12160" TargetMode="External"/><Relationship Id="rId2" Type="http://schemas.openxmlformats.org/officeDocument/2006/relationships/hyperlink" Target="https://www.feedipedia.org/node/12159" TargetMode="External"/><Relationship Id="rId1" Type="http://schemas.openxmlformats.org/officeDocument/2006/relationships/hyperlink" Target="https://www.feedipedia.org/node/12891" TargetMode="External"/></Relationships>
</file>

<file path=xl/worksheets/_rels/sheet45.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feedipedia.org/node/11695" TargetMode="External"/></Relationships>
</file>

<file path=xl/worksheets/_rels/sheet46.xml.rels><?xml version="1.0" encoding="UTF-8" standalone="yes"?>
<Relationships xmlns="http://schemas.openxmlformats.org/package/2006/relationships"><Relationship Id="rId2" Type="http://schemas.openxmlformats.org/officeDocument/2006/relationships/hyperlink" Target="https://www.feedipedia.org/node/12502" TargetMode="External"/><Relationship Id="rId1" Type="http://schemas.openxmlformats.org/officeDocument/2006/relationships/hyperlink" Target="https://www.feedipedia.org/node/12503"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https://www.feedipedia.org/node/12023" TargetMode="External"/><Relationship Id="rId2" Type="http://schemas.openxmlformats.org/officeDocument/2006/relationships/hyperlink" Target="https://www.feedipedia.org/node/12022" TargetMode="External"/><Relationship Id="rId1" Type="http://schemas.openxmlformats.org/officeDocument/2006/relationships/hyperlink" Target="https://www.feedipedia.org/node/12021" TargetMode="External"/><Relationship Id="rId5" Type="http://schemas.openxmlformats.org/officeDocument/2006/relationships/printerSettings" Target="../printerSettings/printerSettings4.bin"/><Relationship Id="rId4" Type="http://schemas.openxmlformats.org/officeDocument/2006/relationships/hyperlink" Target="https://www.feedipedia.org/node/16275" TargetMode="External"/></Relationships>
</file>

<file path=xl/worksheets/_rels/sheet50.xml.rels><?xml version="1.0" encoding="UTF-8" standalone="yes"?>
<Relationships xmlns="http://schemas.openxmlformats.org/package/2006/relationships"><Relationship Id="rId2" Type="http://schemas.openxmlformats.org/officeDocument/2006/relationships/hyperlink" Target="https://www.feedipedia.org/node/12421" TargetMode="External"/><Relationship Id="rId1" Type="http://schemas.openxmlformats.org/officeDocument/2006/relationships/hyperlink" Target="https://www.feedipedia.org/node/12420" TargetMode="External"/></Relationships>
</file>

<file path=xl/worksheets/_rels/sheet51.xml.rels><?xml version="1.0" encoding="UTF-8" standalone="yes"?>
<Relationships xmlns="http://schemas.openxmlformats.org/package/2006/relationships"><Relationship Id="rId8" Type="http://schemas.openxmlformats.org/officeDocument/2006/relationships/hyperlink" Target="https://www.feedipedia.org/node/11642" TargetMode="External"/><Relationship Id="rId3" Type="http://schemas.openxmlformats.org/officeDocument/2006/relationships/hyperlink" Target="http://www.feedipedia.org/node/12756" TargetMode="External"/><Relationship Id="rId7" Type="http://schemas.openxmlformats.org/officeDocument/2006/relationships/hyperlink" Target="https://www.feedipedia.org/node/11636" TargetMode="External"/><Relationship Id="rId2" Type="http://schemas.openxmlformats.org/officeDocument/2006/relationships/hyperlink" Target="http://www.feedipedia.org/node/712" TargetMode="External"/><Relationship Id="rId1" Type="http://schemas.openxmlformats.org/officeDocument/2006/relationships/hyperlink" Target="http://www.feedipedia.org/node/726" TargetMode="External"/><Relationship Id="rId6" Type="http://schemas.openxmlformats.org/officeDocument/2006/relationships/hyperlink" Target="http://www.feedipedia.org/node/12611" TargetMode="External"/><Relationship Id="rId11" Type="http://schemas.openxmlformats.org/officeDocument/2006/relationships/printerSettings" Target="../printerSettings/printerSettings5.bin"/><Relationship Id="rId5" Type="http://schemas.openxmlformats.org/officeDocument/2006/relationships/hyperlink" Target="http://www.feedipedia.org/node/12541" TargetMode="External"/><Relationship Id="rId10" Type="http://schemas.openxmlformats.org/officeDocument/2006/relationships/hyperlink" Target="https://www.feedipedia.org/node/11638" TargetMode="External"/><Relationship Id="rId4" Type="http://schemas.openxmlformats.org/officeDocument/2006/relationships/hyperlink" Target="http://www.feedipedia.org/node/12385" TargetMode="External"/><Relationship Id="rId9" Type="http://schemas.openxmlformats.org/officeDocument/2006/relationships/hyperlink" Target="https://www.feedipedia.org/node/11637" TargetMode="External"/></Relationships>
</file>

<file path=xl/worksheets/_rels/sheet52.xml.rels><?xml version="1.0" encoding="UTF-8" standalone="yes"?>
<Relationships xmlns="http://schemas.openxmlformats.org/package/2006/relationships"><Relationship Id="rId8" Type="http://schemas.openxmlformats.org/officeDocument/2006/relationships/hyperlink" Target="https://www.feedipedia.org/node/11826" TargetMode="External"/><Relationship Id="rId13" Type="http://schemas.openxmlformats.org/officeDocument/2006/relationships/hyperlink" Target="https://www.feedipedia.org/node/12851" TargetMode="External"/><Relationship Id="rId3" Type="http://schemas.openxmlformats.org/officeDocument/2006/relationships/hyperlink" Target="http://www.feedipedia.org/node/17475" TargetMode="External"/><Relationship Id="rId7" Type="http://schemas.openxmlformats.org/officeDocument/2006/relationships/hyperlink" Target="https://www.feedipedia.org/node/12802" TargetMode="External"/><Relationship Id="rId12" Type="http://schemas.openxmlformats.org/officeDocument/2006/relationships/hyperlink" Target="https://www.feedipedia.org/node/12850" TargetMode="External"/><Relationship Id="rId2" Type="http://schemas.openxmlformats.org/officeDocument/2006/relationships/hyperlink" Target="http://www.feedipedia.org/node/12801" TargetMode="External"/><Relationship Id="rId1" Type="http://schemas.openxmlformats.org/officeDocument/2006/relationships/hyperlink" Target="http://www.feedipedia.org/node/11691" TargetMode="External"/><Relationship Id="rId6" Type="http://schemas.openxmlformats.org/officeDocument/2006/relationships/hyperlink" Target="https://www.feedipedia.org/node/11894" TargetMode="External"/><Relationship Id="rId11" Type="http://schemas.openxmlformats.org/officeDocument/2006/relationships/hyperlink" Target="https://www.feedipedia.org/node/12282" TargetMode="External"/><Relationship Id="rId5" Type="http://schemas.openxmlformats.org/officeDocument/2006/relationships/hyperlink" Target="https://www.feedipedia.org/node/11895" TargetMode="External"/><Relationship Id="rId15" Type="http://schemas.openxmlformats.org/officeDocument/2006/relationships/printerSettings" Target="../printerSettings/printerSettings6.bin"/><Relationship Id="rId10" Type="http://schemas.openxmlformats.org/officeDocument/2006/relationships/hyperlink" Target="https://www.feedipedia.org/node/19499" TargetMode="External"/><Relationship Id="rId4" Type="http://schemas.openxmlformats.org/officeDocument/2006/relationships/hyperlink" Target="https://www.feedipedia.org/node/11893" TargetMode="External"/><Relationship Id="rId9" Type="http://schemas.openxmlformats.org/officeDocument/2006/relationships/hyperlink" Target="https://www.feedipedia.org/node/11827" TargetMode="External"/><Relationship Id="rId14" Type="http://schemas.openxmlformats.org/officeDocument/2006/relationships/hyperlink" Target="https://www.feedipedia.org/node/12283"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E5E5E-7038-4788-9278-A55707F381EE}">
  <dimension ref="A1:AG346"/>
  <sheetViews>
    <sheetView tabSelected="1" zoomScale="80" zoomScaleNormal="80" workbookViewId="0">
      <pane xSplit="4" ySplit="1" topLeftCell="X2" activePane="bottomRight" state="frozen"/>
      <selection pane="topRight" activeCell="E1" sqref="E1"/>
      <selection pane="bottomLeft" activeCell="A2" sqref="A2"/>
      <selection pane="bottomRight" activeCell="D6" sqref="D6"/>
    </sheetView>
  </sheetViews>
  <sheetFormatPr defaultColWidth="12.85546875" defaultRowHeight="15.75" x14ac:dyDescent="0.25"/>
  <cols>
    <col min="1" max="1" width="13.28515625" style="24" bestFit="1" customWidth="1"/>
    <col min="2" max="2" width="43" style="24" customWidth="1"/>
    <col min="3" max="3" width="19.140625" style="24" customWidth="1"/>
    <col min="4" max="5" width="42.85546875" style="24" customWidth="1"/>
    <col min="6" max="6" width="19.140625" style="67" customWidth="1"/>
    <col min="7" max="7" width="23.140625" style="67" bestFit="1" customWidth="1"/>
    <col min="8" max="8" width="34" style="24" customWidth="1"/>
    <col min="9" max="9" width="21.7109375" style="24" customWidth="1"/>
    <col min="10" max="10" width="92.28515625" style="24" bestFit="1" customWidth="1"/>
    <col min="11" max="15" width="14" style="24" customWidth="1"/>
    <col min="16" max="16" width="14" style="24" bestFit="1" customWidth="1"/>
    <col min="17" max="17" width="17.7109375" style="24" bestFit="1" customWidth="1"/>
    <col min="18" max="19" width="17.7109375" style="24" customWidth="1"/>
    <col min="20" max="20" width="23.140625" style="25" customWidth="1"/>
    <col min="21" max="21" width="14" style="25" bestFit="1" customWidth="1"/>
    <col min="22" max="22" width="26.140625" style="25" bestFit="1" customWidth="1"/>
    <col min="23" max="23" width="21.7109375" style="25" bestFit="1" customWidth="1"/>
    <col min="24" max="24" width="27.7109375" style="25" bestFit="1" customWidth="1"/>
    <col min="25" max="25" width="22.28515625" style="25" bestFit="1" customWidth="1"/>
    <col min="26" max="26" width="26.28515625" style="25" bestFit="1" customWidth="1"/>
    <col min="27" max="27" width="13.28515625" style="25" bestFit="1" customWidth="1"/>
    <col min="28" max="28" width="25.140625" style="26" bestFit="1" customWidth="1"/>
    <col min="29" max="30" width="25.140625" style="25" customWidth="1"/>
    <col min="31" max="31" width="55.7109375" style="24" bestFit="1" customWidth="1"/>
    <col min="32" max="32" width="62.5703125" style="24" bestFit="1" customWidth="1"/>
    <col min="33" max="33" width="63.140625" style="24" customWidth="1"/>
    <col min="34" max="16384" width="12.85546875" style="24"/>
  </cols>
  <sheetData>
    <row r="1" spans="1:33" x14ac:dyDescent="0.25">
      <c r="A1" s="24" t="s">
        <v>0</v>
      </c>
      <c r="B1" s="31" t="s">
        <v>1</v>
      </c>
      <c r="C1" s="31" t="s">
        <v>2</v>
      </c>
      <c r="D1" s="24" t="s">
        <v>3</v>
      </c>
      <c r="E1" s="24" t="s">
        <v>1788</v>
      </c>
      <c r="F1" s="66" t="s">
        <v>1604</v>
      </c>
      <c r="G1" s="67" t="s">
        <v>1605</v>
      </c>
      <c r="H1" s="24" t="s">
        <v>1606</v>
      </c>
      <c r="I1" s="24" t="s">
        <v>1607</v>
      </c>
      <c r="J1" s="24" t="s">
        <v>4</v>
      </c>
      <c r="K1" s="24" t="s">
        <v>5</v>
      </c>
      <c r="L1" s="24" t="s">
        <v>6</v>
      </c>
      <c r="M1" s="24" t="s">
        <v>7</v>
      </c>
      <c r="N1" s="24" t="s">
        <v>8</v>
      </c>
      <c r="O1" s="24" t="s">
        <v>9</v>
      </c>
      <c r="P1" s="24" t="s">
        <v>10</v>
      </c>
      <c r="Q1" s="24" t="s">
        <v>11</v>
      </c>
      <c r="R1" s="24" t="s">
        <v>1609</v>
      </c>
      <c r="S1" s="24" t="s">
        <v>1610</v>
      </c>
      <c r="T1" s="25" t="s">
        <v>12</v>
      </c>
      <c r="U1" s="25" t="s">
        <v>13</v>
      </c>
      <c r="V1" s="25" t="s">
        <v>14</v>
      </c>
      <c r="W1" s="25" t="s">
        <v>15</v>
      </c>
      <c r="X1" s="25" t="s">
        <v>16</v>
      </c>
      <c r="Y1" s="25" t="s">
        <v>17</v>
      </c>
      <c r="Z1" s="25" t="s">
        <v>18</v>
      </c>
      <c r="AA1" s="25" t="s">
        <v>19</v>
      </c>
      <c r="AB1" s="26" t="s">
        <v>20</v>
      </c>
      <c r="AC1" s="25" t="s">
        <v>21</v>
      </c>
      <c r="AD1" s="25" t="s">
        <v>22</v>
      </c>
      <c r="AE1" s="24" t="s">
        <v>23</v>
      </c>
      <c r="AF1" s="24" t="s">
        <v>24</v>
      </c>
      <c r="AG1" s="24" t="s">
        <v>25</v>
      </c>
    </row>
    <row r="2" spans="1:33" s="31" customFormat="1" x14ac:dyDescent="0.25">
      <c r="A2" s="36" t="s">
        <v>26</v>
      </c>
      <c r="B2" s="36" t="s">
        <v>27</v>
      </c>
      <c r="C2" s="31" t="s">
        <v>28</v>
      </c>
      <c r="D2" s="31" t="s">
        <v>29</v>
      </c>
      <c r="E2" s="31" t="s">
        <v>1791</v>
      </c>
      <c r="F2" s="66"/>
      <c r="G2" s="66"/>
      <c r="J2" s="31" t="s">
        <v>30</v>
      </c>
      <c r="K2" s="31" t="s">
        <v>31</v>
      </c>
      <c r="L2" s="31" t="s">
        <v>31</v>
      </c>
      <c r="M2" s="31" t="s">
        <v>31</v>
      </c>
      <c r="N2" s="31" t="s">
        <v>31</v>
      </c>
      <c r="O2" s="31" t="s">
        <v>31</v>
      </c>
      <c r="P2" s="31" t="s">
        <v>32</v>
      </c>
      <c r="T2" s="32">
        <f>AVERAGE(T141,T152)</f>
        <v>20.555</v>
      </c>
      <c r="U2" s="32">
        <v>18.7</v>
      </c>
      <c r="V2" s="56">
        <f>U2*68.4/100</f>
        <v>12.790800000000001</v>
      </c>
      <c r="W2" s="32">
        <f>AVERAGE(7.1,8.7)</f>
        <v>7.8999999999999995</v>
      </c>
      <c r="X2" s="32">
        <v>10.7</v>
      </c>
      <c r="Y2" s="32">
        <f>AVERAGE(6.6,7.9)</f>
        <v>7.25</v>
      </c>
      <c r="Z2" s="32">
        <v>5.65</v>
      </c>
      <c r="AA2" s="32">
        <v>16.2</v>
      </c>
      <c r="AB2" s="41">
        <f>AA2/6.25/100</f>
        <v>2.5920000000000002E-2</v>
      </c>
      <c r="AC2" s="32">
        <v>71.3</v>
      </c>
      <c r="AD2" s="32">
        <f>AVERAGE(45.5,59.3)</f>
        <v>52.4</v>
      </c>
      <c r="AE2" s="54" t="s">
        <v>33</v>
      </c>
    </row>
    <row r="3" spans="1:33" s="31" customFormat="1" x14ac:dyDescent="0.25">
      <c r="A3" s="36" t="s">
        <v>34</v>
      </c>
      <c r="B3" s="36" t="s">
        <v>35</v>
      </c>
      <c r="C3" s="31" t="s">
        <v>36</v>
      </c>
      <c r="D3" s="31" t="s">
        <v>1608</v>
      </c>
      <c r="E3" s="31" t="s">
        <v>1791</v>
      </c>
      <c r="F3" s="66">
        <v>1913</v>
      </c>
      <c r="G3" s="66">
        <v>111</v>
      </c>
      <c r="H3" s="31">
        <v>635</v>
      </c>
      <c r="I3" s="31">
        <v>15</v>
      </c>
      <c r="J3" s="31" t="s">
        <v>37</v>
      </c>
      <c r="K3" s="31" t="s">
        <v>31</v>
      </c>
      <c r="L3" s="31" t="s">
        <v>31</v>
      </c>
      <c r="N3" s="31" t="s">
        <v>31</v>
      </c>
      <c r="O3" s="31" t="s">
        <v>31</v>
      </c>
      <c r="P3" s="31" t="s">
        <v>38</v>
      </c>
      <c r="Q3" s="31" t="s">
        <v>39</v>
      </c>
      <c r="R3" s="31">
        <v>1.51</v>
      </c>
      <c r="S3" s="31">
        <v>0.52</v>
      </c>
      <c r="T3" s="32">
        <v>91</v>
      </c>
      <c r="U3" s="32">
        <v>18.5</v>
      </c>
      <c r="V3" s="32">
        <v>8.3000000000000007</v>
      </c>
      <c r="W3" s="32">
        <v>2.2999999999999901</v>
      </c>
      <c r="X3" s="32">
        <v>6.8</v>
      </c>
      <c r="Y3" s="32">
        <v>2</v>
      </c>
      <c r="Z3" s="32"/>
      <c r="AA3" s="32">
        <v>4.2</v>
      </c>
      <c r="AB3" s="33">
        <v>6.7200000000000003E-3</v>
      </c>
      <c r="AC3" s="32">
        <v>3.5</v>
      </c>
      <c r="AD3" s="32"/>
      <c r="AE3" s="31" t="s">
        <v>40</v>
      </c>
    </row>
    <row r="4" spans="1:33" s="31" customFormat="1" x14ac:dyDescent="0.25">
      <c r="A4" s="36" t="s">
        <v>41</v>
      </c>
      <c r="B4" s="36" t="s">
        <v>42</v>
      </c>
      <c r="C4" s="31" t="s">
        <v>43</v>
      </c>
      <c r="D4" s="31" t="s">
        <v>44</v>
      </c>
      <c r="E4" s="31" t="s">
        <v>1791</v>
      </c>
      <c r="F4" s="66">
        <v>111</v>
      </c>
      <c r="G4" s="66">
        <v>111</v>
      </c>
      <c r="H4" s="31">
        <v>15</v>
      </c>
      <c r="I4" s="31">
        <v>15</v>
      </c>
      <c r="J4" s="31" t="s">
        <v>45</v>
      </c>
      <c r="K4" s="31" t="s">
        <v>31</v>
      </c>
      <c r="M4" s="31" t="s">
        <v>31</v>
      </c>
      <c r="N4" s="31" t="s">
        <v>31</v>
      </c>
      <c r="O4" s="31" t="s">
        <v>31</v>
      </c>
      <c r="P4" s="31" t="s">
        <v>32</v>
      </c>
      <c r="Q4" s="31" t="s">
        <v>39</v>
      </c>
      <c r="T4" s="32">
        <v>87</v>
      </c>
      <c r="U4" s="32">
        <v>18.2</v>
      </c>
      <c r="V4" s="32">
        <v>15.6</v>
      </c>
      <c r="W4" s="32">
        <v>15.9</v>
      </c>
      <c r="X4" s="32">
        <v>13.1</v>
      </c>
      <c r="Y4" s="32">
        <v>15.5</v>
      </c>
      <c r="Z4" s="32">
        <v>14.1</v>
      </c>
      <c r="AA4" s="32">
        <v>12.6</v>
      </c>
      <c r="AB4" s="33">
        <v>2.0160000000000001E-2</v>
      </c>
      <c r="AC4" s="32">
        <v>70.400000000000006</v>
      </c>
      <c r="AD4" s="32">
        <v>83.5</v>
      </c>
      <c r="AE4" s="52" t="s">
        <v>46</v>
      </c>
    </row>
    <row r="5" spans="1:33" s="31" customFormat="1" x14ac:dyDescent="0.25">
      <c r="A5" s="36" t="s">
        <v>47</v>
      </c>
      <c r="B5" s="36" t="s">
        <v>48</v>
      </c>
      <c r="C5" s="31" t="s">
        <v>49</v>
      </c>
      <c r="D5" s="31" t="s">
        <v>1608</v>
      </c>
      <c r="E5" s="31" t="s">
        <v>1791</v>
      </c>
      <c r="F5" s="66">
        <v>1913</v>
      </c>
      <c r="G5" s="66">
        <v>112</v>
      </c>
      <c r="H5" s="31">
        <v>635</v>
      </c>
      <c r="I5" s="31">
        <v>56</v>
      </c>
      <c r="J5" s="31" t="s">
        <v>50</v>
      </c>
      <c r="K5" s="31" t="s">
        <v>31</v>
      </c>
      <c r="L5" s="31" t="s">
        <v>31</v>
      </c>
      <c r="N5" s="31" t="s">
        <v>31</v>
      </c>
      <c r="O5" s="31" t="s">
        <v>31</v>
      </c>
      <c r="P5" s="31" t="s">
        <v>38</v>
      </c>
      <c r="Q5" s="31" t="s">
        <v>39</v>
      </c>
      <c r="R5" s="31">
        <v>1.03</v>
      </c>
      <c r="S5" s="31">
        <v>0.61</v>
      </c>
      <c r="T5" s="32">
        <v>61.2</v>
      </c>
      <c r="U5" s="32">
        <v>18.2</v>
      </c>
      <c r="V5" s="32">
        <v>9.4</v>
      </c>
      <c r="W5" s="32"/>
      <c r="X5" s="32">
        <v>7.65</v>
      </c>
      <c r="Y5" s="32"/>
      <c r="Z5" s="32"/>
      <c r="AA5" s="32">
        <v>5.35</v>
      </c>
      <c r="AB5" s="33">
        <v>8.5599999999999895E-3</v>
      </c>
      <c r="AC5" s="32">
        <v>-37</v>
      </c>
      <c r="AD5" s="32"/>
      <c r="AE5" s="31" t="s">
        <v>51</v>
      </c>
    </row>
    <row r="6" spans="1:33" s="31" customFormat="1" x14ac:dyDescent="0.25">
      <c r="A6" s="36" t="s">
        <v>52</v>
      </c>
      <c r="B6" s="31" t="s">
        <v>53</v>
      </c>
      <c r="C6" s="31" t="s">
        <v>54</v>
      </c>
      <c r="D6" s="31" t="s">
        <v>44</v>
      </c>
      <c r="E6" s="31" t="s">
        <v>1791</v>
      </c>
      <c r="F6" s="66">
        <v>112</v>
      </c>
      <c r="G6" s="66">
        <v>112</v>
      </c>
      <c r="H6" s="31">
        <v>56</v>
      </c>
      <c r="I6" s="31">
        <v>56</v>
      </c>
      <c r="J6" s="31" t="s">
        <v>55</v>
      </c>
      <c r="K6" s="31" t="s">
        <v>31</v>
      </c>
      <c r="N6" s="31" t="s">
        <v>31</v>
      </c>
      <c r="O6" s="31" t="s">
        <v>31</v>
      </c>
      <c r="P6" s="31" t="s">
        <v>32</v>
      </c>
      <c r="Q6" s="31" t="s">
        <v>39</v>
      </c>
      <c r="T6" s="32">
        <v>87.26</v>
      </c>
      <c r="U6" s="32">
        <v>18.716666666666601</v>
      </c>
      <c r="V6" s="32">
        <v>16.099999999999898</v>
      </c>
      <c r="W6" s="32">
        <v>16.4166666666666</v>
      </c>
      <c r="X6" s="32">
        <v>13.5833333333333</v>
      </c>
      <c r="Y6" s="32">
        <v>16.033333333333299</v>
      </c>
      <c r="Z6" s="32">
        <v>15.1374999999999</v>
      </c>
      <c r="AA6" s="32">
        <v>9.1</v>
      </c>
      <c r="AB6" s="33">
        <v>1.456E-2</v>
      </c>
      <c r="AC6" s="32">
        <v>66</v>
      </c>
      <c r="AD6" s="32">
        <v>80.400000000000006</v>
      </c>
      <c r="AE6" s="31" t="s">
        <v>56</v>
      </c>
    </row>
    <row r="7" spans="1:33" s="31" customFormat="1" x14ac:dyDescent="0.25">
      <c r="A7" s="36" t="s">
        <v>57</v>
      </c>
      <c r="B7" s="36" t="s">
        <v>58</v>
      </c>
      <c r="C7" s="31" t="s">
        <v>59</v>
      </c>
      <c r="D7" s="31" t="s">
        <v>1608</v>
      </c>
      <c r="E7" s="31" t="s">
        <v>1791</v>
      </c>
      <c r="F7" s="66">
        <v>1913</v>
      </c>
      <c r="G7" s="66">
        <v>113</v>
      </c>
      <c r="H7" s="31">
        <v>635</v>
      </c>
      <c r="I7" s="31">
        <v>27</v>
      </c>
      <c r="J7" s="31" t="s">
        <v>60</v>
      </c>
      <c r="K7" s="31" t="s">
        <v>31</v>
      </c>
      <c r="L7" s="31" t="s">
        <v>31</v>
      </c>
      <c r="M7" s="31" t="s">
        <v>31</v>
      </c>
      <c r="N7" s="31" t="s">
        <v>31</v>
      </c>
      <c r="P7" s="31" t="s">
        <v>38</v>
      </c>
      <c r="Q7" s="31" t="s">
        <v>39</v>
      </c>
      <c r="R7" s="31">
        <v>0.95</v>
      </c>
      <c r="S7" s="31">
        <v>2.46</v>
      </c>
      <c r="T7" s="32">
        <v>92.8</v>
      </c>
      <c r="U7" s="32">
        <v>15.5</v>
      </c>
      <c r="V7" s="32">
        <v>7.2</v>
      </c>
      <c r="W7" s="32">
        <v>5.4</v>
      </c>
      <c r="X7" s="32">
        <v>5.8</v>
      </c>
      <c r="Y7" s="32"/>
      <c r="Z7" s="32"/>
      <c r="AA7" s="32">
        <v>4.2</v>
      </c>
      <c r="AB7" s="33">
        <v>6.7200000000000003E-3</v>
      </c>
      <c r="AC7" s="32">
        <v>2.1</v>
      </c>
      <c r="AD7" s="32"/>
      <c r="AE7" s="35" t="s">
        <v>61</v>
      </c>
    </row>
    <row r="8" spans="1:33" s="31" customFormat="1" x14ac:dyDescent="0.25">
      <c r="A8" s="36" t="s">
        <v>62</v>
      </c>
      <c r="B8" s="36" t="s">
        <v>63</v>
      </c>
      <c r="C8" s="31" t="s">
        <v>64</v>
      </c>
      <c r="D8" s="31" t="s">
        <v>44</v>
      </c>
      <c r="E8" s="31" t="s">
        <v>1791</v>
      </c>
      <c r="F8" s="66">
        <v>113</v>
      </c>
      <c r="G8" s="66">
        <v>113</v>
      </c>
      <c r="H8" s="31">
        <v>27</v>
      </c>
      <c r="I8" s="31">
        <v>27</v>
      </c>
      <c r="J8" s="31" t="s">
        <v>65</v>
      </c>
      <c r="K8" s="31" t="s">
        <v>31</v>
      </c>
      <c r="L8" s="31" t="s">
        <v>31</v>
      </c>
      <c r="M8" s="31" t="s">
        <v>31</v>
      </c>
      <c r="N8" s="31" t="s">
        <v>31</v>
      </c>
      <c r="O8" s="31" t="s">
        <v>31</v>
      </c>
      <c r="P8" s="31" t="s">
        <v>32</v>
      </c>
      <c r="Q8" s="31" t="s">
        <v>39</v>
      </c>
      <c r="T8" s="32">
        <v>89.2</v>
      </c>
      <c r="U8" s="31">
        <v>18</v>
      </c>
      <c r="V8" s="31">
        <v>15.9</v>
      </c>
      <c r="W8" s="31">
        <v>17.100000000000001</v>
      </c>
      <c r="X8" s="31">
        <v>13.4</v>
      </c>
      <c r="Y8" s="31">
        <v>16.600000000000001</v>
      </c>
      <c r="Z8" s="31">
        <f>AVERAGE(15.9,15.6)</f>
        <v>15.75</v>
      </c>
      <c r="AA8" s="31">
        <v>10.4</v>
      </c>
      <c r="AB8" s="33">
        <f>AA8/6.25/100</f>
        <v>1.6640000000000002E-2</v>
      </c>
      <c r="AC8" s="31">
        <v>70</v>
      </c>
      <c r="AD8" s="31">
        <v>92</v>
      </c>
      <c r="AE8" s="35" t="s">
        <v>66</v>
      </c>
    </row>
    <row r="9" spans="1:33" s="31" customFormat="1" x14ac:dyDescent="0.25">
      <c r="A9" s="36" t="s">
        <v>67</v>
      </c>
      <c r="B9" s="36" t="s">
        <v>68</v>
      </c>
      <c r="C9" s="31" t="s">
        <v>69</v>
      </c>
      <c r="D9" s="31" t="s">
        <v>1608</v>
      </c>
      <c r="E9" s="31" t="s">
        <v>1791</v>
      </c>
      <c r="F9" s="66">
        <v>1913</v>
      </c>
      <c r="G9" s="66">
        <v>114</v>
      </c>
      <c r="H9" s="31">
        <v>635</v>
      </c>
      <c r="I9" s="31">
        <v>83</v>
      </c>
      <c r="J9" s="31" t="s">
        <v>70</v>
      </c>
      <c r="K9" s="31" t="s">
        <v>31</v>
      </c>
      <c r="L9" s="31" t="s">
        <v>31</v>
      </c>
      <c r="M9" s="31" t="s">
        <v>31</v>
      </c>
      <c r="P9" s="31" t="s">
        <v>38</v>
      </c>
      <c r="Q9" s="31" t="s">
        <v>39</v>
      </c>
      <c r="R9" s="31">
        <v>0.88</v>
      </c>
      <c r="S9" s="31">
        <v>1.33</v>
      </c>
      <c r="T9" s="32">
        <v>93</v>
      </c>
      <c r="U9" s="32">
        <v>18.100000000000001</v>
      </c>
      <c r="V9" s="32">
        <v>8.9</v>
      </c>
      <c r="W9" s="32"/>
      <c r="X9" s="32">
        <v>7.3</v>
      </c>
      <c r="Y9" s="32"/>
      <c r="Z9" s="32"/>
      <c r="AA9" s="32">
        <v>3.7</v>
      </c>
      <c r="AB9" s="33">
        <v>5.9199999999999999E-3</v>
      </c>
      <c r="AC9" s="32">
        <v>30</v>
      </c>
      <c r="AD9" s="32"/>
      <c r="AE9" s="34" t="s">
        <v>71</v>
      </c>
    </row>
    <row r="10" spans="1:33" s="31" customFormat="1" x14ac:dyDescent="0.25">
      <c r="A10" s="36" t="s">
        <v>72</v>
      </c>
      <c r="B10" s="36" t="s">
        <v>73</v>
      </c>
      <c r="C10" s="31" t="s">
        <v>74</v>
      </c>
      <c r="D10" s="31" t="s">
        <v>44</v>
      </c>
      <c r="E10" s="31" t="s">
        <v>1791</v>
      </c>
      <c r="F10" s="66">
        <v>114</v>
      </c>
      <c r="G10" s="66">
        <v>114</v>
      </c>
      <c r="H10" s="31">
        <v>83</v>
      </c>
      <c r="I10" s="31">
        <v>83</v>
      </c>
      <c r="J10" s="31" t="s">
        <v>75</v>
      </c>
      <c r="K10" s="31" t="s">
        <v>31</v>
      </c>
      <c r="L10" s="31" t="s">
        <v>31</v>
      </c>
      <c r="N10" s="31" t="s">
        <v>31</v>
      </c>
      <c r="O10" s="31" t="s">
        <v>31</v>
      </c>
      <c r="P10" s="31" t="s">
        <v>32</v>
      </c>
      <c r="Q10" s="31" t="s">
        <v>39</v>
      </c>
      <c r="T10" s="32">
        <v>87.4</v>
      </c>
      <c r="U10" s="32">
        <v>18.8</v>
      </c>
      <c r="V10" s="32">
        <v>16</v>
      </c>
      <c r="W10" s="32">
        <v>16.100000000000001</v>
      </c>
      <c r="X10" s="32">
        <v>13.5</v>
      </c>
      <c r="Y10" s="32">
        <v>15.7</v>
      </c>
      <c r="Z10" s="32">
        <v>15.85</v>
      </c>
      <c r="AA10" s="32">
        <v>10.8</v>
      </c>
      <c r="AB10" s="33">
        <v>1.728E-2</v>
      </c>
      <c r="AC10" s="32">
        <v>68.400000000000006</v>
      </c>
      <c r="AD10" s="32">
        <v>70.599999999999994</v>
      </c>
      <c r="AE10" s="31" t="s">
        <v>76</v>
      </c>
    </row>
    <row r="11" spans="1:33" s="31" customFormat="1" x14ac:dyDescent="0.25">
      <c r="A11" s="36" t="s">
        <v>77</v>
      </c>
      <c r="B11" s="36" t="s">
        <v>78</v>
      </c>
      <c r="C11" s="31" t="s">
        <v>79</v>
      </c>
      <c r="D11" s="31" t="s">
        <v>1608</v>
      </c>
      <c r="E11" s="31" t="s">
        <v>1791</v>
      </c>
      <c r="F11" s="66">
        <v>1913</v>
      </c>
      <c r="G11" s="66">
        <v>115</v>
      </c>
      <c r="H11" s="31">
        <v>635</v>
      </c>
      <c r="I11" s="31">
        <v>44</v>
      </c>
      <c r="J11" s="31" t="s">
        <v>80</v>
      </c>
      <c r="K11" s="31" t="s">
        <v>31</v>
      </c>
      <c r="L11" s="31" t="s">
        <v>31</v>
      </c>
      <c r="N11" s="31" t="s">
        <v>31</v>
      </c>
      <c r="O11" s="31" t="s">
        <v>31</v>
      </c>
      <c r="P11" s="31" t="s">
        <v>32</v>
      </c>
      <c r="Q11" s="31" t="s">
        <v>39</v>
      </c>
      <c r="R11" s="31">
        <v>0.98</v>
      </c>
      <c r="S11" s="31">
        <v>0.59</v>
      </c>
      <c r="T11" s="32">
        <v>90.9</v>
      </c>
      <c r="U11" s="32">
        <v>18.2</v>
      </c>
      <c r="V11" s="32">
        <v>8</v>
      </c>
      <c r="W11" s="32">
        <v>2.5000000000000001E-2</v>
      </c>
      <c r="X11" s="32">
        <v>6.5</v>
      </c>
      <c r="Y11" s="32">
        <v>2.2000000000000002</v>
      </c>
      <c r="Z11" s="32"/>
      <c r="AA11" s="32">
        <v>3.8</v>
      </c>
      <c r="AB11" s="33">
        <v>6.0799999999999899E-3</v>
      </c>
      <c r="AC11" s="32">
        <v>22.8</v>
      </c>
      <c r="AD11" s="32"/>
      <c r="AE11" s="34" t="s">
        <v>81</v>
      </c>
    </row>
    <row r="12" spans="1:33" s="31" customFormat="1" x14ac:dyDescent="0.25">
      <c r="A12" s="36" t="s">
        <v>82</v>
      </c>
      <c r="B12" s="36" t="s">
        <v>83</v>
      </c>
      <c r="C12" s="31" t="s">
        <v>84</v>
      </c>
      <c r="D12" s="31" t="s">
        <v>44</v>
      </c>
      <c r="E12" s="31" t="s">
        <v>1791</v>
      </c>
      <c r="F12" s="66">
        <v>115</v>
      </c>
      <c r="G12" s="66">
        <v>115</v>
      </c>
      <c r="H12" s="31">
        <v>44</v>
      </c>
      <c r="I12" s="31">
        <v>44</v>
      </c>
      <c r="J12" s="31" t="s">
        <v>85</v>
      </c>
      <c r="K12" s="31" t="s">
        <v>31</v>
      </c>
      <c r="L12" s="31" t="s">
        <v>31</v>
      </c>
      <c r="M12" s="31" t="s">
        <v>31</v>
      </c>
      <c r="N12" s="31" t="s">
        <v>31</v>
      </c>
      <c r="O12" s="31" t="s">
        <v>31</v>
      </c>
      <c r="P12" s="31" t="s">
        <v>32</v>
      </c>
      <c r="Q12" s="31" t="s">
        <v>39</v>
      </c>
      <c r="T12" s="32">
        <v>87.1</v>
      </c>
      <c r="U12" s="32">
        <v>18.399999999999899</v>
      </c>
      <c r="V12" s="32">
        <v>14.8</v>
      </c>
      <c r="W12" s="32">
        <v>14.8</v>
      </c>
      <c r="X12" s="32">
        <v>12.4</v>
      </c>
      <c r="Y12" s="32">
        <v>14.3</v>
      </c>
      <c r="Z12" s="32">
        <v>12.25</v>
      </c>
      <c r="AA12" s="32">
        <v>11.8</v>
      </c>
      <c r="AB12" s="33">
        <v>1.8880000000000001E-2</v>
      </c>
      <c r="AC12" s="32">
        <v>66.599999999999994</v>
      </c>
      <c r="AD12" s="32">
        <v>76.2</v>
      </c>
      <c r="AE12" s="34" t="s">
        <v>86</v>
      </c>
    </row>
    <row r="13" spans="1:33" s="31" customFormat="1" x14ac:dyDescent="0.25">
      <c r="A13" s="36" t="s">
        <v>87</v>
      </c>
      <c r="B13" s="36" t="s">
        <v>88</v>
      </c>
      <c r="D13" s="31" t="s">
        <v>1608</v>
      </c>
      <c r="E13" s="31" t="s">
        <v>1791</v>
      </c>
      <c r="F13" s="66">
        <v>1913</v>
      </c>
      <c r="G13" s="66">
        <v>116</v>
      </c>
      <c r="H13" s="31">
        <v>635</v>
      </c>
      <c r="I13" s="31">
        <v>71</v>
      </c>
      <c r="J13" s="31" t="s">
        <v>89</v>
      </c>
      <c r="K13" s="31" t="s">
        <v>31</v>
      </c>
      <c r="L13" s="31" t="s">
        <v>31</v>
      </c>
      <c r="N13" s="31" t="s">
        <v>31</v>
      </c>
      <c r="O13" s="31" t="s">
        <v>31</v>
      </c>
      <c r="P13" s="31" t="s">
        <v>32</v>
      </c>
      <c r="Q13" s="31" t="s">
        <v>39</v>
      </c>
      <c r="R13" s="31">
        <v>1.0900000000000001</v>
      </c>
      <c r="S13" s="31">
        <v>0.88</v>
      </c>
      <c r="T13" s="32">
        <v>92</v>
      </c>
      <c r="U13" s="32">
        <v>18.3</v>
      </c>
      <c r="V13" s="32">
        <v>8.1999999999999904</v>
      </c>
      <c r="W13" s="32">
        <v>2.2000000000000002</v>
      </c>
      <c r="X13" s="32">
        <v>6.6</v>
      </c>
      <c r="Y13" s="32">
        <v>1.9</v>
      </c>
      <c r="Z13" s="32"/>
      <c r="AA13" s="32">
        <v>4.0999999999999899</v>
      </c>
      <c r="AB13" s="33">
        <v>6.5599999999999903E-3</v>
      </c>
      <c r="AC13" s="32">
        <v>2</v>
      </c>
      <c r="AD13" s="32"/>
      <c r="AE13" s="34" t="s">
        <v>90</v>
      </c>
    </row>
    <row r="14" spans="1:33" s="31" customFormat="1" x14ac:dyDescent="0.25">
      <c r="A14" s="36" t="s">
        <v>91</v>
      </c>
      <c r="B14" s="36" t="s">
        <v>92</v>
      </c>
      <c r="C14" s="31" t="s">
        <v>93</v>
      </c>
      <c r="D14" s="31" t="s">
        <v>44</v>
      </c>
      <c r="E14" s="31" t="s">
        <v>1791</v>
      </c>
      <c r="F14" s="66">
        <v>116</v>
      </c>
      <c r="G14" s="66">
        <v>116</v>
      </c>
      <c r="H14" s="31">
        <v>71</v>
      </c>
      <c r="I14" s="31">
        <v>71</v>
      </c>
      <c r="J14" s="31" t="s">
        <v>94</v>
      </c>
      <c r="K14" s="31" t="s">
        <v>31</v>
      </c>
      <c r="L14" s="31" t="s">
        <v>31</v>
      </c>
      <c r="N14" s="31" t="s">
        <v>31</v>
      </c>
      <c r="O14" s="31" t="s">
        <v>31</v>
      </c>
      <c r="P14" s="31" t="s">
        <v>38</v>
      </c>
      <c r="Q14" s="31" t="s">
        <v>39</v>
      </c>
      <c r="T14" s="32">
        <v>86.6</v>
      </c>
      <c r="U14" s="32">
        <v>18</v>
      </c>
      <c r="V14" s="32">
        <v>15.5</v>
      </c>
      <c r="W14" s="32">
        <v>15.1</v>
      </c>
      <c r="X14" s="32">
        <v>13</v>
      </c>
      <c r="Y14" s="32">
        <v>14.6</v>
      </c>
      <c r="Z14" s="32">
        <v>13.25</v>
      </c>
      <c r="AA14" s="32">
        <v>10.3</v>
      </c>
      <c r="AB14" s="33">
        <v>1.6480000000000002E-2</v>
      </c>
      <c r="AC14" s="32">
        <v>68.3</v>
      </c>
      <c r="AD14" s="32">
        <v>70.900000000000006</v>
      </c>
      <c r="AE14" s="31" t="s">
        <v>95</v>
      </c>
      <c r="AG14" s="31" t="s">
        <v>96</v>
      </c>
    </row>
    <row r="15" spans="1:33" s="31" customFormat="1" x14ac:dyDescent="0.25">
      <c r="A15" s="36" t="s">
        <v>97</v>
      </c>
      <c r="B15" s="36" t="s">
        <v>98</v>
      </c>
      <c r="D15" s="31" t="s">
        <v>1608</v>
      </c>
      <c r="E15" s="31" t="s">
        <v>1791</v>
      </c>
      <c r="F15" s="66">
        <v>1913</v>
      </c>
      <c r="G15" s="66">
        <v>117</v>
      </c>
      <c r="H15" s="31">
        <v>635</v>
      </c>
      <c r="I15" s="31">
        <v>75</v>
      </c>
      <c r="J15" s="31" t="s">
        <v>99</v>
      </c>
      <c r="K15" s="31" t="s">
        <v>31</v>
      </c>
      <c r="L15" s="31" t="s">
        <v>31</v>
      </c>
      <c r="N15" s="31" t="s">
        <v>31</v>
      </c>
      <c r="O15" s="31" t="s">
        <v>31</v>
      </c>
      <c r="P15" s="31" t="s">
        <v>38</v>
      </c>
      <c r="Q15" s="31" t="s">
        <v>39</v>
      </c>
      <c r="R15" s="31">
        <v>0.91</v>
      </c>
      <c r="S15" s="31">
        <v>0.89</v>
      </c>
      <c r="T15" s="32">
        <v>89.6</v>
      </c>
      <c r="U15" s="32">
        <v>18</v>
      </c>
      <c r="V15" s="32">
        <v>8.1</v>
      </c>
      <c r="W15" s="32">
        <v>2.7</v>
      </c>
      <c r="X15" s="32">
        <v>6.6</v>
      </c>
      <c r="Y15" s="32">
        <v>2.4</v>
      </c>
      <c r="Z15" s="32"/>
      <c r="AA15" s="32">
        <v>3.6</v>
      </c>
      <c r="AB15" s="33">
        <v>5.7600000000000004E-3</v>
      </c>
      <c r="AC15" s="32">
        <v>31</v>
      </c>
      <c r="AD15" s="32"/>
      <c r="AE15" s="34" t="s">
        <v>100</v>
      </c>
    </row>
    <row r="16" spans="1:33" s="31" customFormat="1" x14ac:dyDescent="0.25">
      <c r="A16" s="36" t="s">
        <v>101</v>
      </c>
      <c r="B16" s="36" t="s">
        <v>102</v>
      </c>
      <c r="C16" s="31" t="s">
        <v>93</v>
      </c>
      <c r="D16" s="31" t="s">
        <v>44</v>
      </c>
      <c r="E16" s="31" t="s">
        <v>1791</v>
      </c>
      <c r="F16" s="66">
        <v>117</v>
      </c>
      <c r="G16" s="66">
        <v>117</v>
      </c>
      <c r="H16" s="31">
        <v>75</v>
      </c>
      <c r="I16" s="31">
        <v>75</v>
      </c>
      <c r="J16" s="31" t="s">
        <v>103</v>
      </c>
      <c r="K16" s="31" t="s">
        <v>31</v>
      </c>
      <c r="L16" s="31" t="s">
        <v>31</v>
      </c>
      <c r="N16" s="31" t="s">
        <v>31</v>
      </c>
      <c r="O16" s="31" t="s">
        <v>31</v>
      </c>
      <c r="P16" s="31" t="s">
        <v>32</v>
      </c>
      <c r="Q16" s="31" t="s">
        <v>39</v>
      </c>
      <c r="T16" s="32">
        <v>87.9</v>
      </c>
      <c r="U16" s="32">
        <v>19.5</v>
      </c>
      <c r="V16" s="32">
        <v>14.7</v>
      </c>
      <c r="W16" s="32">
        <v>12.7</v>
      </c>
      <c r="X16" s="32">
        <v>12.2</v>
      </c>
      <c r="Y16" s="32">
        <v>12.2</v>
      </c>
      <c r="Z16" s="32">
        <v>11.5</v>
      </c>
      <c r="AA16" s="32">
        <v>11</v>
      </c>
      <c r="AB16" s="33">
        <v>1.7600000000000001E-2</v>
      </c>
      <c r="AC16" s="32">
        <v>63.9</v>
      </c>
      <c r="AD16" s="32">
        <v>75.900000000000006</v>
      </c>
      <c r="AE16" s="34" t="s">
        <v>104</v>
      </c>
    </row>
    <row r="17" spans="1:33" s="31" customFormat="1" x14ac:dyDescent="0.25">
      <c r="A17" s="36" t="s">
        <v>105</v>
      </c>
      <c r="B17" s="36" t="s">
        <v>106</v>
      </c>
      <c r="C17" s="31" t="s">
        <v>107</v>
      </c>
      <c r="D17" s="31" t="s">
        <v>1608</v>
      </c>
      <c r="E17" s="31" t="s">
        <v>1791</v>
      </c>
      <c r="F17" s="66">
        <v>1913</v>
      </c>
      <c r="G17" s="66">
        <v>118</v>
      </c>
      <c r="H17" s="31">
        <v>635</v>
      </c>
      <c r="I17" s="31">
        <v>79</v>
      </c>
      <c r="J17" s="31" t="s">
        <v>108</v>
      </c>
      <c r="K17" s="31" t="s">
        <v>31</v>
      </c>
      <c r="L17" s="31" t="s">
        <v>31</v>
      </c>
      <c r="M17" s="31" t="s">
        <v>31</v>
      </c>
      <c r="P17" s="31" t="s">
        <v>38</v>
      </c>
      <c r="Q17" s="31" t="s">
        <v>39</v>
      </c>
      <c r="R17" s="31">
        <v>1.43</v>
      </c>
      <c r="S17" s="31">
        <v>0.14000000000000001</v>
      </c>
      <c r="T17" s="32">
        <v>93.6</v>
      </c>
      <c r="U17" s="32">
        <v>17.725000000000001</v>
      </c>
      <c r="V17" s="32">
        <v>8.9250000000000007</v>
      </c>
      <c r="W17" s="32"/>
      <c r="X17" s="32">
        <v>7.2249999999999899</v>
      </c>
      <c r="Y17" s="32"/>
      <c r="Z17" s="32"/>
      <c r="AA17" s="32">
        <v>4.375</v>
      </c>
      <c r="AB17" s="33">
        <v>6.9999999999999897E-3</v>
      </c>
      <c r="AC17" s="32">
        <v>10.3</v>
      </c>
      <c r="AD17" s="32"/>
      <c r="AE17" s="31" t="s">
        <v>109</v>
      </c>
    </row>
    <row r="18" spans="1:33" s="31" customFormat="1" x14ac:dyDescent="0.25">
      <c r="A18" s="36" t="s">
        <v>110</v>
      </c>
      <c r="B18" s="36" t="s">
        <v>111</v>
      </c>
      <c r="C18" s="31" t="s">
        <v>112</v>
      </c>
      <c r="D18" s="31" t="s">
        <v>44</v>
      </c>
      <c r="E18" s="31" t="s">
        <v>1791</v>
      </c>
      <c r="F18" s="66">
        <v>118</v>
      </c>
      <c r="G18" s="66">
        <v>118</v>
      </c>
      <c r="H18" s="31">
        <v>79</v>
      </c>
      <c r="I18" s="31">
        <v>79</v>
      </c>
      <c r="J18" s="31" t="s">
        <v>113</v>
      </c>
      <c r="P18" s="31" t="s">
        <v>114</v>
      </c>
      <c r="Q18" s="31" t="s">
        <v>39</v>
      </c>
      <c r="T18" s="32">
        <v>89.8</v>
      </c>
      <c r="U18" s="32">
        <v>18.724999999999898</v>
      </c>
      <c r="V18" s="32">
        <v>15.1489333333333</v>
      </c>
      <c r="W18" s="32">
        <v>14.45</v>
      </c>
      <c r="X18" s="32">
        <v>12.633333333333301</v>
      </c>
      <c r="Y18" s="32">
        <v>14.033333333333299</v>
      </c>
      <c r="Z18" s="32">
        <v>14.3333333333333</v>
      </c>
      <c r="AA18" s="32">
        <v>11.875</v>
      </c>
      <c r="AB18" s="33">
        <v>1.9E-2</v>
      </c>
      <c r="AC18" s="32">
        <v>76.5</v>
      </c>
      <c r="AD18" s="32"/>
      <c r="AE18" s="31" t="s">
        <v>115</v>
      </c>
    </row>
    <row r="19" spans="1:33" s="38" customFormat="1" x14ac:dyDescent="0.25">
      <c r="A19" s="57" t="s">
        <v>116</v>
      </c>
      <c r="B19" s="38" t="s">
        <v>117</v>
      </c>
      <c r="D19" s="38" t="s">
        <v>1608</v>
      </c>
      <c r="E19" s="38" t="s">
        <v>1790</v>
      </c>
      <c r="F19" s="68">
        <v>1913</v>
      </c>
      <c r="G19" s="68">
        <v>1191</v>
      </c>
      <c r="H19" s="38">
        <v>635</v>
      </c>
      <c r="I19" s="38">
        <v>97</v>
      </c>
      <c r="J19" s="38" t="s">
        <v>118</v>
      </c>
      <c r="K19" s="38" t="s">
        <v>31</v>
      </c>
      <c r="N19" s="38" t="s">
        <v>31</v>
      </c>
      <c r="O19" s="38" t="s">
        <v>31</v>
      </c>
      <c r="R19" s="38">
        <v>1.0900000000000001</v>
      </c>
      <c r="S19" s="38">
        <v>0.88</v>
      </c>
      <c r="T19" s="39">
        <v>92.5</v>
      </c>
      <c r="U19" s="39">
        <v>18.7</v>
      </c>
      <c r="V19" s="39">
        <v>8.8000000000000007</v>
      </c>
      <c r="W19" s="39">
        <v>3</v>
      </c>
      <c r="X19" s="39">
        <v>7.2</v>
      </c>
      <c r="Y19" s="39">
        <v>2.7</v>
      </c>
      <c r="AA19" s="39">
        <v>3.2</v>
      </c>
      <c r="AB19" s="40">
        <f>AA19/6.25/100</f>
        <v>5.1200000000000004E-3</v>
      </c>
      <c r="AC19" s="39"/>
      <c r="AD19" s="39"/>
      <c r="AE19" s="47" t="s">
        <v>119</v>
      </c>
    </row>
    <row r="20" spans="1:33" s="31" customFormat="1" x14ac:dyDescent="0.25">
      <c r="A20" s="36" t="s">
        <v>120</v>
      </c>
      <c r="B20" s="31" t="s">
        <v>121</v>
      </c>
      <c r="D20" s="31" t="s">
        <v>44</v>
      </c>
      <c r="E20" s="31" t="s">
        <v>1791</v>
      </c>
      <c r="F20" s="66">
        <v>1191</v>
      </c>
      <c r="G20" s="66">
        <v>1191</v>
      </c>
      <c r="H20" s="31">
        <v>97</v>
      </c>
      <c r="I20" s="31">
        <v>97</v>
      </c>
      <c r="J20" s="31" t="s">
        <v>122</v>
      </c>
      <c r="K20" s="31" t="s">
        <v>31</v>
      </c>
      <c r="N20" s="31" t="s">
        <v>31</v>
      </c>
      <c r="O20" s="31" t="s">
        <v>31</v>
      </c>
      <c r="T20" s="32">
        <v>87.1</v>
      </c>
      <c r="U20" s="32">
        <v>18.100000000000001</v>
      </c>
      <c r="V20" s="32">
        <v>15.5</v>
      </c>
      <c r="W20" s="32">
        <v>15.6</v>
      </c>
      <c r="X20" s="32">
        <v>12.9</v>
      </c>
      <c r="Y20" s="32">
        <v>15.1</v>
      </c>
      <c r="Z20" s="32">
        <v>13.85</v>
      </c>
      <c r="AA20" s="32">
        <v>11.7</v>
      </c>
      <c r="AB20" s="33">
        <f>AA20/6.25/100</f>
        <v>1.8720000000000001E-2</v>
      </c>
      <c r="AC20" s="32">
        <v>69.5</v>
      </c>
      <c r="AD20" s="32">
        <v>83.9</v>
      </c>
      <c r="AE20" s="31" t="s">
        <v>123</v>
      </c>
      <c r="AF20" s="31" t="s">
        <v>124</v>
      </c>
    </row>
    <row r="21" spans="1:33" s="31" customFormat="1" x14ac:dyDescent="0.25">
      <c r="A21" s="36" t="s">
        <v>125</v>
      </c>
      <c r="B21" s="36" t="s">
        <v>126</v>
      </c>
      <c r="D21" s="31" t="s">
        <v>1608</v>
      </c>
      <c r="E21" s="31" t="s">
        <v>1791</v>
      </c>
      <c r="F21" s="66">
        <v>1913</v>
      </c>
      <c r="G21" s="66">
        <v>1192</v>
      </c>
      <c r="H21" s="31">
        <v>635</v>
      </c>
      <c r="I21" s="31">
        <v>89</v>
      </c>
      <c r="J21" s="31" t="s">
        <v>127</v>
      </c>
      <c r="K21" s="31" t="s">
        <v>31</v>
      </c>
      <c r="L21" s="31" t="s">
        <v>31</v>
      </c>
      <c r="N21" s="31" t="s">
        <v>31</v>
      </c>
      <c r="O21" s="31" t="s">
        <v>31</v>
      </c>
      <c r="P21" s="31" t="s">
        <v>38</v>
      </c>
      <c r="Q21" s="31" t="s">
        <v>39</v>
      </c>
      <c r="R21" s="31">
        <v>1.0900000000000001</v>
      </c>
      <c r="S21" s="31">
        <v>0.88</v>
      </c>
      <c r="T21" s="32">
        <v>87.2</v>
      </c>
      <c r="U21" s="32">
        <v>18.7</v>
      </c>
      <c r="V21" s="32">
        <v>6.2</v>
      </c>
      <c r="W21" s="32"/>
      <c r="X21" s="32">
        <v>4.9000000000000004</v>
      </c>
      <c r="Y21" s="32"/>
      <c r="Z21" s="32"/>
      <c r="AA21" s="32">
        <v>4.5999999999999899</v>
      </c>
      <c r="AB21" s="33">
        <v>7.3600000000000002E-3</v>
      </c>
      <c r="AC21" s="32">
        <v>5.9</v>
      </c>
      <c r="AD21" s="32"/>
      <c r="AE21" s="34" t="s">
        <v>128</v>
      </c>
    </row>
    <row r="22" spans="1:33" s="31" customFormat="1" x14ac:dyDescent="0.25">
      <c r="A22" s="36" t="s">
        <v>129</v>
      </c>
      <c r="B22" s="36" t="s">
        <v>130</v>
      </c>
      <c r="C22" s="31" t="s">
        <v>93</v>
      </c>
      <c r="D22" s="31" t="s">
        <v>44</v>
      </c>
      <c r="E22" s="31" t="s">
        <v>1791</v>
      </c>
      <c r="F22" s="66">
        <v>1192</v>
      </c>
      <c r="G22" s="66">
        <v>1192</v>
      </c>
      <c r="H22" s="31">
        <v>89</v>
      </c>
      <c r="I22" s="31">
        <v>89</v>
      </c>
      <c r="J22" s="31" t="s">
        <v>131</v>
      </c>
      <c r="K22" s="31" t="s">
        <v>31</v>
      </c>
      <c r="L22" s="31" t="s">
        <v>31</v>
      </c>
      <c r="N22" s="31" t="s">
        <v>31</v>
      </c>
      <c r="O22" s="31" t="s">
        <v>31</v>
      </c>
      <c r="P22" s="31" t="s">
        <v>38</v>
      </c>
      <c r="Q22" s="31" t="s">
        <v>39</v>
      </c>
      <c r="T22" s="32">
        <v>84.9</v>
      </c>
      <c r="U22" s="32">
        <v>18.7</v>
      </c>
      <c r="V22" s="32">
        <v>11.6875</v>
      </c>
      <c r="W22" s="32">
        <v>12.3</v>
      </c>
      <c r="X22" s="32">
        <v>9.6</v>
      </c>
      <c r="Y22" s="32">
        <v>11.9</v>
      </c>
      <c r="Z22" s="32"/>
      <c r="AA22" s="32">
        <v>13.2</v>
      </c>
      <c r="AB22" s="33">
        <v>2.112E-2</v>
      </c>
      <c r="AC22" s="31">
        <v>58.3</v>
      </c>
      <c r="AD22" s="32">
        <v>70.7</v>
      </c>
      <c r="AE22" s="34" t="s">
        <v>132</v>
      </c>
    </row>
    <row r="23" spans="1:33" s="38" customFormat="1" x14ac:dyDescent="0.25">
      <c r="A23" s="57" t="s">
        <v>133</v>
      </c>
      <c r="B23" s="38" t="s">
        <v>134</v>
      </c>
      <c r="D23" s="38" t="s">
        <v>1608</v>
      </c>
      <c r="E23" s="38" t="s">
        <v>1790</v>
      </c>
      <c r="F23" s="68">
        <v>1913</v>
      </c>
      <c r="G23" s="68">
        <v>1193</v>
      </c>
      <c r="I23" s="38">
        <v>94</v>
      </c>
      <c r="J23" s="38" t="s">
        <v>135</v>
      </c>
      <c r="L23" s="38" t="s">
        <v>31</v>
      </c>
      <c r="P23" s="38" t="s">
        <v>38</v>
      </c>
      <c r="R23" s="38">
        <v>1.0900000000000001</v>
      </c>
      <c r="S23" s="38">
        <v>0.88</v>
      </c>
      <c r="T23" s="39">
        <v>94.1</v>
      </c>
      <c r="U23" s="39">
        <v>18.2</v>
      </c>
      <c r="V23" s="39"/>
      <c r="W23" s="39"/>
      <c r="X23" s="39">
        <v>7.2</v>
      </c>
      <c r="Y23" s="39"/>
      <c r="Z23" s="39"/>
      <c r="AA23" s="39">
        <v>5.6</v>
      </c>
      <c r="AB23" s="40">
        <f>AA23/6.25/100</f>
        <v>8.9599999999999992E-3</v>
      </c>
      <c r="AC23" s="39">
        <v>60</v>
      </c>
      <c r="AD23" s="39"/>
      <c r="AE23" s="47" t="s">
        <v>136</v>
      </c>
    </row>
    <row r="24" spans="1:33" s="31" customFormat="1" x14ac:dyDescent="0.25">
      <c r="A24" s="36" t="s">
        <v>137</v>
      </c>
      <c r="B24" s="31" t="s">
        <v>138</v>
      </c>
      <c r="D24" s="31" t="s">
        <v>44</v>
      </c>
      <c r="E24" s="31" t="s">
        <v>1791</v>
      </c>
      <c r="F24" s="66">
        <v>1193</v>
      </c>
      <c r="G24" s="66">
        <v>1193</v>
      </c>
      <c r="H24" s="31">
        <v>94</v>
      </c>
      <c r="I24" s="31">
        <v>94</v>
      </c>
      <c r="J24" s="31" t="s">
        <v>139</v>
      </c>
      <c r="K24" s="31" t="s">
        <v>31</v>
      </c>
      <c r="L24" s="31" t="s">
        <v>31</v>
      </c>
      <c r="M24" s="31" t="s">
        <v>31</v>
      </c>
      <c r="N24" s="31" t="s">
        <v>31</v>
      </c>
      <c r="O24" s="31" t="s">
        <v>31</v>
      </c>
      <c r="P24" s="31" t="s">
        <v>32</v>
      </c>
      <c r="T24" s="32">
        <v>89.1</v>
      </c>
      <c r="U24" s="32">
        <v>18.2</v>
      </c>
      <c r="V24" s="32"/>
      <c r="W24" s="32">
        <v>13.5</v>
      </c>
      <c r="X24" s="32">
        <v>13.6</v>
      </c>
      <c r="Y24" s="32">
        <v>13.2</v>
      </c>
      <c r="Z24" s="32">
        <f>AVERAGE(13.1,13.3)</f>
        <v>13.2</v>
      </c>
      <c r="AA24" s="32">
        <v>8.6</v>
      </c>
      <c r="AB24" s="41">
        <f>AA24/6.25/100</f>
        <v>1.376E-2</v>
      </c>
      <c r="AC24" s="32">
        <v>70.900000000000006</v>
      </c>
      <c r="AD24" s="32">
        <v>75.599999999999994</v>
      </c>
      <c r="AE24" s="31" t="s">
        <v>140</v>
      </c>
    </row>
    <row r="25" spans="1:33" s="31" customFormat="1" x14ac:dyDescent="0.25">
      <c r="A25" s="36" t="s">
        <v>141</v>
      </c>
      <c r="B25" s="31" t="s">
        <v>142</v>
      </c>
      <c r="D25" s="31" t="s">
        <v>44</v>
      </c>
      <c r="E25" s="31" t="s">
        <v>1791</v>
      </c>
      <c r="F25" s="66">
        <v>1194</v>
      </c>
      <c r="G25" s="66">
        <v>1194</v>
      </c>
      <c r="H25" s="31">
        <v>92</v>
      </c>
      <c r="I25" s="31">
        <v>92</v>
      </c>
      <c r="J25" s="31" t="s">
        <v>143</v>
      </c>
      <c r="L25" s="31" t="s">
        <v>31</v>
      </c>
      <c r="M25" s="31" t="s">
        <v>31</v>
      </c>
      <c r="N25" s="31" t="s">
        <v>31</v>
      </c>
      <c r="O25" s="31" t="s">
        <v>31</v>
      </c>
      <c r="P25" s="31" t="s">
        <v>32</v>
      </c>
      <c r="T25" s="32">
        <v>88.2</v>
      </c>
      <c r="U25" s="32">
        <v>19.100000000000001</v>
      </c>
      <c r="V25" s="32"/>
      <c r="W25" s="32">
        <v>16.2</v>
      </c>
      <c r="X25" s="32">
        <v>13.7</v>
      </c>
      <c r="Y25" s="32">
        <v>15.7</v>
      </c>
      <c r="Z25" s="32">
        <f>AVERAGE(15.4,15.1)</f>
        <v>15.25</v>
      </c>
      <c r="AA25" s="32">
        <v>13.6</v>
      </c>
      <c r="AB25" s="33">
        <f>AA25/6.25/100</f>
        <v>2.1760000000000002E-2</v>
      </c>
      <c r="AC25" s="32">
        <v>71.5</v>
      </c>
      <c r="AD25" s="32">
        <v>82.5</v>
      </c>
      <c r="AE25" s="35" t="s">
        <v>144</v>
      </c>
    </row>
    <row r="26" spans="1:33" s="38" customFormat="1" x14ac:dyDescent="0.25">
      <c r="A26" s="57" t="s">
        <v>145</v>
      </c>
      <c r="B26" s="38" t="s">
        <v>146</v>
      </c>
      <c r="D26" s="38" t="s">
        <v>147</v>
      </c>
      <c r="E26" s="38" t="s">
        <v>1790</v>
      </c>
      <c r="F26" s="68"/>
      <c r="G26" s="68">
        <v>1194</v>
      </c>
      <c r="I26" s="38">
        <v>92</v>
      </c>
      <c r="J26" s="38" t="s">
        <v>148</v>
      </c>
      <c r="K26" s="38" t="s">
        <v>31</v>
      </c>
      <c r="L26" s="38" t="s">
        <v>31</v>
      </c>
      <c r="M26" s="38" t="s">
        <v>31</v>
      </c>
      <c r="N26" s="38" t="s">
        <v>31</v>
      </c>
      <c r="T26" s="39">
        <v>13.8</v>
      </c>
      <c r="U26" s="39">
        <v>15.4</v>
      </c>
      <c r="V26" s="39">
        <v>12.1</v>
      </c>
      <c r="W26" s="39"/>
      <c r="X26" s="39">
        <v>9.5</v>
      </c>
      <c r="Y26" s="39"/>
      <c r="Z26" s="39"/>
      <c r="AA26" s="39">
        <v>18.8</v>
      </c>
      <c r="AB26" s="40">
        <f>AA26/6.25/100</f>
        <v>3.0079999999999999E-2</v>
      </c>
      <c r="AC26" s="39"/>
      <c r="AD26" s="39"/>
      <c r="AE26" s="47" t="s">
        <v>149</v>
      </c>
    </row>
    <row r="27" spans="1:33" s="28" customFormat="1" x14ac:dyDescent="0.25">
      <c r="A27" s="61" t="s">
        <v>150</v>
      </c>
      <c r="B27" s="28" t="s">
        <v>151</v>
      </c>
      <c r="D27" s="28" t="s">
        <v>152</v>
      </c>
      <c r="E27" s="28" t="s">
        <v>1789</v>
      </c>
      <c r="F27" s="69">
        <v>1195</v>
      </c>
      <c r="G27" s="69"/>
      <c r="T27" s="29"/>
      <c r="U27" s="29"/>
      <c r="V27" s="29"/>
      <c r="W27" s="29"/>
      <c r="X27" s="29"/>
      <c r="Y27" s="29"/>
      <c r="Z27" s="29"/>
      <c r="AA27" s="29"/>
      <c r="AB27" s="30"/>
      <c r="AC27" s="29"/>
      <c r="AD27" s="29"/>
      <c r="AG27" s="28" t="s">
        <v>153</v>
      </c>
    </row>
    <row r="28" spans="1:33" s="31" customFormat="1" x14ac:dyDescent="0.25">
      <c r="A28" s="36" t="s">
        <v>154</v>
      </c>
      <c r="B28" s="31" t="s">
        <v>155</v>
      </c>
      <c r="C28" s="31" t="s">
        <v>93</v>
      </c>
      <c r="D28" s="31" t="s">
        <v>44</v>
      </c>
      <c r="E28" s="31" t="s">
        <v>1791</v>
      </c>
      <c r="F28" s="66" t="s">
        <v>1611</v>
      </c>
      <c r="G28" s="66"/>
      <c r="H28" s="31">
        <v>103</v>
      </c>
      <c r="J28" s="31" t="s">
        <v>156</v>
      </c>
      <c r="P28" s="31" t="s">
        <v>32</v>
      </c>
      <c r="T28" s="64">
        <f t="shared" ref="T28:AD28" si="0">AVERAGE(T4,T6,T8,T10,T12,T14,T16,T18,T20,T22,T24,T25)</f>
        <v>87.63</v>
      </c>
      <c r="U28" s="45">
        <f t="shared" si="0"/>
        <v>18.536805555555532</v>
      </c>
      <c r="V28" s="45">
        <f t="shared" si="0"/>
        <v>15.093643333333318</v>
      </c>
      <c r="W28" s="45">
        <f t="shared" si="0"/>
        <v>15.013888888888884</v>
      </c>
      <c r="X28" s="45">
        <f t="shared" si="0"/>
        <v>12.801388888888882</v>
      </c>
      <c r="Y28" s="45">
        <f t="shared" si="0"/>
        <v>14.572222222222216</v>
      </c>
      <c r="Z28" s="45">
        <f t="shared" si="0"/>
        <v>14.042803030303018</v>
      </c>
      <c r="AA28" s="45">
        <f t="shared" si="0"/>
        <v>11.247916666666667</v>
      </c>
      <c r="AB28" s="45">
        <f t="shared" si="0"/>
        <v>1.7996666666666668E-2</v>
      </c>
      <c r="AC28" s="45">
        <f t="shared" si="0"/>
        <v>68.35833333333332</v>
      </c>
      <c r="AD28" s="45">
        <f t="shared" si="0"/>
        <v>78.38181818181819</v>
      </c>
      <c r="AE28" s="31" t="s">
        <v>157</v>
      </c>
    </row>
    <row r="29" spans="1:33" s="31" customFormat="1" x14ac:dyDescent="0.25">
      <c r="A29" s="36" t="s">
        <v>158</v>
      </c>
      <c r="B29" s="31" t="s">
        <v>159</v>
      </c>
      <c r="D29" s="31" t="s">
        <v>44</v>
      </c>
      <c r="E29" s="31" t="s">
        <v>1791</v>
      </c>
      <c r="F29" s="66" t="s">
        <v>1612</v>
      </c>
      <c r="G29" s="66"/>
      <c r="H29" s="31">
        <v>108</v>
      </c>
      <c r="J29" s="31" t="s">
        <v>160</v>
      </c>
      <c r="P29" s="31" t="s">
        <v>32</v>
      </c>
      <c r="T29" s="64">
        <f t="shared" ref="T29:AD29" si="1">T28</f>
        <v>87.63</v>
      </c>
      <c r="U29" s="45">
        <f t="shared" si="1"/>
        <v>18.536805555555532</v>
      </c>
      <c r="V29" s="45">
        <f t="shared" si="1"/>
        <v>15.093643333333318</v>
      </c>
      <c r="W29" s="45">
        <f t="shared" si="1"/>
        <v>15.013888888888884</v>
      </c>
      <c r="X29" s="45">
        <f t="shared" si="1"/>
        <v>12.801388888888882</v>
      </c>
      <c r="Y29" s="45">
        <f t="shared" si="1"/>
        <v>14.572222222222216</v>
      </c>
      <c r="Z29" s="45">
        <f t="shared" si="1"/>
        <v>14.042803030303018</v>
      </c>
      <c r="AA29" s="45">
        <f t="shared" si="1"/>
        <v>11.247916666666667</v>
      </c>
      <c r="AB29" s="45">
        <f t="shared" si="1"/>
        <v>1.7996666666666668E-2</v>
      </c>
      <c r="AC29" s="45">
        <f t="shared" si="1"/>
        <v>68.35833333333332</v>
      </c>
      <c r="AD29" s="45">
        <f t="shared" si="1"/>
        <v>78.38181818181819</v>
      </c>
      <c r="AE29" s="31" t="s">
        <v>157</v>
      </c>
    </row>
    <row r="30" spans="1:33" s="31" customFormat="1" x14ac:dyDescent="0.25">
      <c r="A30" s="36" t="s">
        <v>161</v>
      </c>
      <c r="B30" s="31" t="s">
        <v>162</v>
      </c>
      <c r="D30" s="31" t="s">
        <v>163</v>
      </c>
      <c r="E30" s="31" t="s">
        <v>1791</v>
      </c>
      <c r="F30" s="66">
        <v>1212</v>
      </c>
      <c r="G30" s="66">
        <v>1212</v>
      </c>
      <c r="H30" s="31">
        <v>358</v>
      </c>
      <c r="I30" s="31">
        <v>358</v>
      </c>
      <c r="J30" s="31" t="s">
        <v>164</v>
      </c>
      <c r="Q30" s="31" t="s">
        <v>165</v>
      </c>
      <c r="T30" s="32">
        <v>12.1</v>
      </c>
      <c r="U30" s="32">
        <v>17.399999999999999</v>
      </c>
      <c r="V30" s="32">
        <v>13.2</v>
      </c>
      <c r="W30" s="32"/>
      <c r="X30" s="32">
        <v>10.6</v>
      </c>
      <c r="Y30" s="32"/>
      <c r="Z30" s="32"/>
      <c r="AA30" s="32">
        <v>19.3</v>
      </c>
      <c r="AB30" s="33">
        <f>AA30/6.25/100</f>
        <v>3.0880000000000001E-2</v>
      </c>
      <c r="AC30" s="32">
        <v>88.5</v>
      </c>
      <c r="AD30" s="32"/>
      <c r="AE30" s="24" t="s">
        <v>166</v>
      </c>
    </row>
    <row r="31" spans="1:33" s="28" customFormat="1" x14ac:dyDescent="0.25">
      <c r="A31" s="61" t="s">
        <v>167</v>
      </c>
      <c r="B31" s="28" t="s">
        <v>168</v>
      </c>
      <c r="D31" s="28" t="s">
        <v>163</v>
      </c>
      <c r="E31" s="28" t="s">
        <v>1789</v>
      </c>
      <c r="F31" s="69">
        <v>1213</v>
      </c>
      <c r="G31" s="69"/>
      <c r="T31" s="29"/>
      <c r="U31" s="29"/>
      <c r="V31" s="29"/>
      <c r="W31" s="29"/>
      <c r="X31" s="29"/>
      <c r="Y31" s="29"/>
      <c r="Z31" s="29"/>
      <c r="AA31" s="29"/>
      <c r="AB31" s="30"/>
      <c r="AC31" s="29"/>
      <c r="AD31" s="29"/>
    </row>
    <row r="32" spans="1:33" s="28" customFormat="1" x14ac:dyDescent="0.25">
      <c r="A32" s="61" t="s">
        <v>169</v>
      </c>
      <c r="B32" s="28" t="s">
        <v>170</v>
      </c>
      <c r="D32" s="28" t="s">
        <v>163</v>
      </c>
      <c r="E32" s="28" t="s">
        <v>1789</v>
      </c>
      <c r="F32" s="69">
        <v>1214</v>
      </c>
      <c r="G32" s="69"/>
      <c r="T32" s="29"/>
      <c r="U32" s="29"/>
      <c r="V32" s="29"/>
      <c r="W32" s="29"/>
      <c r="X32" s="29"/>
      <c r="Y32" s="29"/>
      <c r="Z32" s="29"/>
      <c r="AA32" s="29"/>
      <c r="AB32" s="30"/>
      <c r="AC32" s="29"/>
      <c r="AD32" s="29"/>
    </row>
    <row r="33" spans="1:32" s="31" customFormat="1" x14ac:dyDescent="0.25">
      <c r="A33" s="36" t="s">
        <v>171</v>
      </c>
      <c r="B33" s="31" t="s">
        <v>172</v>
      </c>
      <c r="D33" s="31" t="s">
        <v>163</v>
      </c>
      <c r="E33" s="31" t="s">
        <v>1791</v>
      </c>
      <c r="F33" s="66">
        <v>1221</v>
      </c>
      <c r="G33" s="66">
        <v>1221</v>
      </c>
      <c r="H33" s="31">
        <v>567</v>
      </c>
      <c r="I33" s="31">
        <v>567</v>
      </c>
      <c r="J33" s="31" t="s">
        <v>173</v>
      </c>
      <c r="K33" s="31" t="s">
        <v>31</v>
      </c>
      <c r="N33" s="31" t="s">
        <v>31</v>
      </c>
      <c r="Q33" s="31" t="s">
        <v>165</v>
      </c>
      <c r="T33" s="32">
        <v>7.9</v>
      </c>
      <c r="U33" s="32">
        <v>19.5</v>
      </c>
      <c r="V33" s="32"/>
      <c r="W33" s="32">
        <v>9.4</v>
      </c>
      <c r="X33" s="32"/>
      <c r="Y33" s="32"/>
      <c r="Z33" s="32"/>
      <c r="AA33" s="32">
        <v>10</v>
      </c>
      <c r="AB33" s="33">
        <f>AA33/6.25/100</f>
        <v>1.6E-2</v>
      </c>
      <c r="AC33" s="32"/>
      <c r="AD33" s="32"/>
      <c r="AE33" s="31" t="s">
        <v>174</v>
      </c>
      <c r="AF33" s="31" t="s">
        <v>124</v>
      </c>
    </row>
    <row r="34" spans="1:32" s="31" customFormat="1" x14ac:dyDescent="0.25">
      <c r="A34" s="36" t="s">
        <v>175</v>
      </c>
      <c r="B34" s="31" t="s">
        <v>176</v>
      </c>
      <c r="D34" s="31" t="s">
        <v>163</v>
      </c>
      <c r="E34" s="31" t="s">
        <v>1791</v>
      </c>
      <c r="F34" s="66">
        <v>1229</v>
      </c>
      <c r="G34" s="66">
        <v>1229</v>
      </c>
      <c r="H34" s="31">
        <v>568</v>
      </c>
      <c r="I34" s="31">
        <v>568</v>
      </c>
      <c r="J34" s="31" t="s">
        <v>177</v>
      </c>
      <c r="K34" s="31" t="s">
        <v>31</v>
      </c>
      <c r="N34" s="31" t="s">
        <v>31</v>
      </c>
      <c r="Q34" s="31" t="s">
        <v>165</v>
      </c>
      <c r="T34" s="32">
        <v>8.1999999999999993</v>
      </c>
      <c r="U34" s="32">
        <v>17.5</v>
      </c>
      <c r="V34" s="32"/>
      <c r="W34" s="32">
        <v>9</v>
      </c>
      <c r="X34" s="32">
        <v>8.3000000000000007</v>
      </c>
      <c r="Y34" s="32"/>
      <c r="Z34" s="32"/>
      <c r="AA34" s="32">
        <v>17.7</v>
      </c>
      <c r="AB34" s="33">
        <f>AA34/6.25/100</f>
        <v>2.8319999999999998E-2</v>
      </c>
      <c r="AC34" s="32"/>
      <c r="AD34" s="32"/>
      <c r="AE34" s="31" t="s">
        <v>178</v>
      </c>
      <c r="AF34" s="31" t="s">
        <v>124</v>
      </c>
    </row>
    <row r="35" spans="1:32" s="28" customFormat="1" x14ac:dyDescent="0.25">
      <c r="A35" s="61" t="s">
        <v>179</v>
      </c>
      <c r="B35" s="28" t="s">
        <v>180</v>
      </c>
      <c r="D35" s="28" t="s">
        <v>163</v>
      </c>
      <c r="E35" s="28" t="s">
        <v>1789</v>
      </c>
      <c r="F35" s="69">
        <v>1232</v>
      </c>
      <c r="G35" s="69"/>
      <c r="T35" s="29"/>
      <c r="U35" s="29"/>
      <c r="V35" s="29"/>
      <c r="W35" s="29"/>
      <c r="X35" s="29"/>
      <c r="Y35" s="29"/>
      <c r="Z35" s="29"/>
      <c r="AA35" s="29"/>
      <c r="AB35" s="30"/>
      <c r="AC35" s="29"/>
      <c r="AD35" s="29"/>
    </row>
    <row r="36" spans="1:32" s="28" customFormat="1" x14ac:dyDescent="0.25">
      <c r="A36" s="61" t="s">
        <v>181</v>
      </c>
      <c r="B36" s="28" t="s">
        <v>182</v>
      </c>
      <c r="D36" s="28" t="s">
        <v>163</v>
      </c>
      <c r="E36" s="28" t="s">
        <v>1789</v>
      </c>
      <c r="F36" s="69">
        <v>1233</v>
      </c>
      <c r="G36" s="69"/>
      <c r="T36" s="29"/>
      <c r="U36" s="29"/>
      <c r="V36" s="29"/>
      <c r="W36" s="29"/>
      <c r="X36" s="29"/>
      <c r="Y36" s="29"/>
      <c r="Z36" s="29"/>
      <c r="AA36" s="29"/>
      <c r="AB36" s="30"/>
      <c r="AC36" s="29"/>
      <c r="AD36" s="29"/>
    </row>
    <row r="37" spans="1:32" s="31" customFormat="1" x14ac:dyDescent="0.25">
      <c r="A37" s="36" t="s">
        <v>183</v>
      </c>
      <c r="B37" s="31" t="s">
        <v>184</v>
      </c>
      <c r="D37" s="31" t="s">
        <v>163</v>
      </c>
      <c r="E37" s="31" t="s">
        <v>1791</v>
      </c>
      <c r="F37" s="66">
        <v>1234</v>
      </c>
      <c r="G37" s="66">
        <v>1234</v>
      </c>
      <c r="H37" s="31">
        <v>388</v>
      </c>
      <c r="I37" s="31">
        <v>388</v>
      </c>
      <c r="J37" s="31" t="s">
        <v>185</v>
      </c>
      <c r="K37" s="31" t="s">
        <v>31</v>
      </c>
      <c r="L37" s="31" t="s">
        <v>31</v>
      </c>
      <c r="M37" s="31" t="s">
        <v>31</v>
      </c>
      <c r="N37" s="31" t="s">
        <v>31</v>
      </c>
      <c r="O37" s="31" t="s">
        <v>31</v>
      </c>
      <c r="P37" s="31" t="s">
        <v>32</v>
      </c>
      <c r="Q37" s="31" t="s">
        <v>165</v>
      </c>
      <c r="T37" s="32">
        <v>7.3</v>
      </c>
      <c r="U37" s="32"/>
      <c r="V37" s="32"/>
      <c r="W37" s="32"/>
      <c r="X37" s="32"/>
      <c r="Y37" s="32"/>
      <c r="Z37" s="32"/>
      <c r="AA37" s="32"/>
      <c r="AB37" s="33"/>
      <c r="AC37" s="32"/>
      <c r="AD37" s="32"/>
      <c r="AE37" s="31" t="s">
        <v>186</v>
      </c>
    </row>
    <row r="38" spans="1:32" s="38" customFormat="1" x14ac:dyDescent="0.25">
      <c r="A38" s="57" t="s">
        <v>187</v>
      </c>
      <c r="B38" s="38" t="s">
        <v>188</v>
      </c>
      <c r="D38" s="38" t="s">
        <v>152</v>
      </c>
      <c r="E38" s="38" t="s">
        <v>1790</v>
      </c>
      <c r="F38" s="68"/>
      <c r="G38" s="68">
        <v>1234</v>
      </c>
      <c r="I38" s="38">
        <v>388</v>
      </c>
      <c r="J38" s="38" t="s">
        <v>189</v>
      </c>
      <c r="K38" s="38" t="s">
        <v>31</v>
      </c>
      <c r="L38" s="38" t="s">
        <v>31</v>
      </c>
      <c r="M38" s="38" t="s">
        <v>31</v>
      </c>
      <c r="N38" s="38" t="s">
        <v>31</v>
      </c>
      <c r="O38" s="38" t="s">
        <v>31</v>
      </c>
      <c r="P38" s="38" t="s">
        <v>32</v>
      </c>
      <c r="T38" s="39">
        <v>93.5</v>
      </c>
      <c r="U38" s="39">
        <v>21.8</v>
      </c>
      <c r="V38" s="39">
        <v>12</v>
      </c>
      <c r="W38" s="39">
        <v>7.6</v>
      </c>
      <c r="X38" s="39">
        <v>9.3000000000000007</v>
      </c>
      <c r="Y38" s="39">
        <v>6.8</v>
      </c>
      <c r="Z38" s="39"/>
      <c r="AA38" s="39">
        <v>21</v>
      </c>
      <c r="AB38" s="40">
        <f>AA38/6.25/100</f>
        <v>3.3599999999999998E-2</v>
      </c>
      <c r="AC38" s="39">
        <v>65.400000000000006</v>
      </c>
      <c r="AD38" s="39"/>
      <c r="AE38" s="38" t="s">
        <v>190</v>
      </c>
    </row>
    <row r="39" spans="1:32" s="31" customFormat="1" x14ac:dyDescent="0.25">
      <c r="A39" s="36" t="s">
        <v>191</v>
      </c>
      <c r="B39" s="31" t="s">
        <v>192</v>
      </c>
      <c r="D39" s="31" t="s">
        <v>163</v>
      </c>
      <c r="E39" s="31" t="s">
        <v>1791</v>
      </c>
      <c r="F39" s="66">
        <v>1235</v>
      </c>
      <c r="G39" s="66">
        <v>1235</v>
      </c>
      <c r="H39" s="31">
        <v>394</v>
      </c>
      <c r="I39" s="31">
        <v>394</v>
      </c>
      <c r="J39" s="31" t="s">
        <v>193</v>
      </c>
      <c r="K39" s="31" t="s">
        <v>31</v>
      </c>
      <c r="N39" s="31" t="s">
        <v>31</v>
      </c>
      <c r="Q39" s="31" t="s">
        <v>165</v>
      </c>
      <c r="T39" s="32">
        <v>70.599999999999994</v>
      </c>
      <c r="U39" s="32">
        <v>22.8</v>
      </c>
      <c r="V39" s="32"/>
      <c r="W39" s="32"/>
      <c r="X39" s="32">
        <v>11.9</v>
      </c>
      <c r="Y39" s="32"/>
      <c r="Z39" s="32"/>
      <c r="AA39" s="31">
        <v>31</v>
      </c>
      <c r="AB39" s="33">
        <f>AA39/6.25/100</f>
        <v>4.9599999999999998E-2</v>
      </c>
      <c r="AC39" s="32">
        <v>70.3</v>
      </c>
      <c r="AD39" s="32"/>
      <c r="AE39" s="31" t="s">
        <v>194</v>
      </c>
    </row>
    <row r="40" spans="1:32" s="31" customFormat="1" x14ac:dyDescent="0.25">
      <c r="A40" s="36" t="s">
        <v>195</v>
      </c>
      <c r="B40" s="31" t="s">
        <v>196</v>
      </c>
      <c r="D40" s="31" t="s">
        <v>163</v>
      </c>
      <c r="E40" s="31" t="s">
        <v>1791</v>
      </c>
      <c r="F40" s="66" t="s">
        <v>1613</v>
      </c>
      <c r="G40" s="66" t="s">
        <v>1613</v>
      </c>
      <c r="H40" s="31">
        <v>430</v>
      </c>
      <c r="I40" s="31">
        <v>430</v>
      </c>
      <c r="J40" s="31" t="s">
        <v>197</v>
      </c>
      <c r="Q40" s="31" t="s">
        <v>165</v>
      </c>
      <c r="T40" s="32">
        <v>52.7</v>
      </c>
      <c r="U40" s="32">
        <v>19.399999999999999</v>
      </c>
      <c r="V40" s="32"/>
      <c r="W40" s="32">
        <v>10.7</v>
      </c>
      <c r="X40" s="32"/>
      <c r="Y40" s="32"/>
      <c r="Z40" s="32"/>
      <c r="AA40" s="32">
        <v>19.600000000000001</v>
      </c>
      <c r="AB40" s="33">
        <f>AA40/6.25/100</f>
        <v>3.1359999999999999E-2</v>
      </c>
      <c r="AC40" s="32"/>
      <c r="AD40" s="32"/>
      <c r="AE40" s="31" t="s">
        <v>198</v>
      </c>
    </row>
    <row r="41" spans="1:32" s="28" customFormat="1" x14ac:dyDescent="0.25">
      <c r="A41" s="61" t="s">
        <v>199</v>
      </c>
      <c r="B41" s="28" t="s">
        <v>200</v>
      </c>
      <c r="D41" s="28" t="s">
        <v>201</v>
      </c>
      <c r="E41" s="28" t="s">
        <v>1789</v>
      </c>
      <c r="F41" s="69" t="s">
        <v>1614</v>
      </c>
      <c r="G41" s="69"/>
      <c r="T41" s="29"/>
      <c r="U41" s="29"/>
      <c r="V41" s="29"/>
      <c r="W41" s="29"/>
      <c r="X41" s="29"/>
      <c r="Y41" s="29"/>
      <c r="Z41" s="29"/>
      <c r="AA41" s="29"/>
      <c r="AB41" s="30"/>
      <c r="AC41" s="29"/>
      <c r="AD41" s="29"/>
    </row>
    <row r="42" spans="1:32" s="31" customFormat="1" x14ac:dyDescent="0.25">
      <c r="A42" s="36" t="s">
        <v>202</v>
      </c>
      <c r="B42" s="31" t="s">
        <v>203</v>
      </c>
      <c r="C42" s="31" t="s">
        <v>204</v>
      </c>
      <c r="D42" s="31" t="s">
        <v>201</v>
      </c>
      <c r="E42" s="31" t="s">
        <v>1791</v>
      </c>
      <c r="F42" s="66">
        <v>1242</v>
      </c>
      <c r="G42" s="66">
        <v>1242</v>
      </c>
      <c r="H42" s="31">
        <v>417</v>
      </c>
      <c r="I42" s="31">
        <v>417</v>
      </c>
      <c r="J42" s="31" t="s">
        <v>205</v>
      </c>
      <c r="K42" s="31" t="s">
        <v>31</v>
      </c>
      <c r="L42" s="31" t="s">
        <v>31</v>
      </c>
      <c r="M42" s="31" t="s">
        <v>31</v>
      </c>
      <c r="N42" s="31" t="s">
        <v>31</v>
      </c>
      <c r="O42" s="31" t="s">
        <v>31</v>
      </c>
      <c r="P42" s="31" t="s">
        <v>32</v>
      </c>
      <c r="Q42" s="31" t="s">
        <v>165</v>
      </c>
      <c r="T42" s="32">
        <v>86.5</v>
      </c>
      <c r="U42" s="32">
        <v>18.3</v>
      </c>
      <c r="V42" s="32">
        <v>16.5</v>
      </c>
      <c r="W42" s="32">
        <v>16.100000000000001</v>
      </c>
      <c r="X42" s="32">
        <v>13.4</v>
      </c>
      <c r="Y42" s="32">
        <v>15.4</v>
      </c>
      <c r="Z42" s="32">
        <v>12.5</v>
      </c>
      <c r="AA42" s="32">
        <v>23.9</v>
      </c>
      <c r="AB42" s="33">
        <f>AA42/6.25/100</f>
        <v>3.8239999999999996E-2</v>
      </c>
      <c r="AC42" s="32">
        <v>78</v>
      </c>
      <c r="AD42" s="32">
        <v>84.9</v>
      </c>
      <c r="AE42" s="35" t="s">
        <v>206</v>
      </c>
    </row>
    <row r="43" spans="1:32" s="28" customFormat="1" x14ac:dyDescent="0.25">
      <c r="A43" s="61" t="s">
        <v>207</v>
      </c>
      <c r="B43" s="28" t="s">
        <v>208</v>
      </c>
      <c r="D43" s="28" t="s">
        <v>201</v>
      </c>
      <c r="E43" s="28" t="s">
        <v>1789</v>
      </c>
      <c r="F43" s="69">
        <v>1243</v>
      </c>
      <c r="G43" s="69"/>
      <c r="T43" s="29"/>
      <c r="U43" s="29"/>
      <c r="V43" s="29"/>
      <c r="W43" s="29"/>
      <c r="X43" s="29"/>
      <c r="Y43" s="29"/>
      <c r="Z43" s="29"/>
      <c r="AA43" s="29"/>
      <c r="AB43" s="30"/>
      <c r="AC43" s="29"/>
      <c r="AD43" s="29"/>
    </row>
    <row r="44" spans="1:32" s="31" customFormat="1" x14ac:dyDescent="0.25">
      <c r="A44" s="36" t="s">
        <v>209</v>
      </c>
      <c r="B44" s="31" t="s">
        <v>210</v>
      </c>
      <c r="D44" s="31" t="s">
        <v>211</v>
      </c>
      <c r="E44" s="31" t="s">
        <v>1791</v>
      </c>
      <c r="F44" s="66">
        <v>1251</v>
      </c>
      <c r="G44" s="66">
        <v>1251</v>
      </c>
      <c r="H44" s="31">
        <v>426</v>
      </c>
      <c r="I44" s="31">
        <v>426</v>
      </c>
      <c r="J44" s="31" t="s">
        <v>212</v>
      </c>
      <c r="K44" s="31" t="s">
        <v>31</v>
      </c>
      <c r="L44" s="31" t="s">
        <v>31</v>
      </c>
      <c r="M44" s="31" t="s">
        <v>31</v>
      </c>
      <c r="N44" s="31" t="s">
        <v>31</v>
      </c>
      <c r="Q44" s="31" t="s">
        <v>165</v>
      </c>
      <c r="T44" s="32">
        <v>10.7</v>
      </c>
      <c r="U44" s="32">
        <v>17.100000000000001</v>
      </c>
      <c r="V44" s="32">
        <v>14.2</v>
      </c>
      <c r="W44" s="32">
        <v>14.1</v>
      </c>
      <c r="X44" s="32">
        <v>11.9</v>
      </c>
      <c r="Y44" s="32"/>
      <c r="Z44" s="32"/>
      <c r="AA44" s="32">
        <v>9.1</v>
      </c>
      <c r="AB44" s="41">
        <f>AA44/6.25/100</f>
        <v>1.456E-2</v>
      </c>
      <c r="AC44" s="32">
        <v>77</v>
      </c>
      <c r="AD44" s="32">
        <v>61.1</v>
      </c>
      <c r="AE44" s="34" t="s">
        <v>213</v>
      </c>
    </row>
    <row r="45" spans="1:32" s="38" customFormat="1" x14ac:dyDescent="0.25">
      <c r="A45" s="57" t="s">
        <v>214</v>
      </c>
      <c r="B45" s="38" t="s">
        <v>215</v>
      </c>
      <c r="D45" s="38" t="s">
        <v>211</v>
      </c>
      <c r="E45" s="38" t="s">
        <v>1790</v>
      </c>
      <c r="F45" s="68"/>
      <c r="G45" s="68">
        <v>1251</v>
      </c>
      <c r="I45" s="38">
        <v>426</v>
      </c>
      <c r="J45" s="38" t="s">
        <v>216</v>
      </c>
      <c r="K45" s="38" t="s">
        <v>31</v>
      </c>
      <c r="L45" s="38" t="s">
        <v>31</v>
      </c>
      <c r="M45" s="38" t="s">
        <v>31</v>
      </c>
      <c r="N45" s="38" t="s">
        <v>31</v>
      </c>
      <c r="T45" s="39">
        <v>90</v>
      </c>
      <c r="U45" s="39">
        <v>17.7</v>
      </c>
      <c r="V45" s="39">
        <v>14.8</v>
      </c>
      <c r="W45" s="39">
        <v>13.3</v>
      </c>
      <c r="X45" s="39">
        <v>12.3</v>
      </c>
      <c r="Y45" s="39">
        <v>12.8</v>
      </c>
      <c r="Z45" s="39"/>
      <c r="AA45" s="39">
        <v>11.1</v>
      </c>
      <c r="AB45" s="40">
        <f>AA45/6.25/100</f>
        <v>1.7760000000000001E-2</v>
      </c>
      <c r="AC45" s="39"/>
      <c r="AD45" s="39"/>
      <c r="AE45" s="38" t="s">
        <v>217</v>
      </c>
    </row>
    <row r="46" spans="1:32" s="38" customFormat="1" x14ac:dyDescent="0.25">
      <c r="A46" s="57" t="s">
        <v>218</v>
      </c>
      <c r="B46" s="38" t="s">
        <v>219</v>
      </c>
      <c r="D46" s="38" t="s">
        <v>1608</v>
      </c>
      <c r="E46" s="38" t="s">
        <v>1790</v>
      </c>
      <c r="F46" s="68"/>
      <c r="G46" s="68">
        <v>1251</v>
      </c>
      <c r="I46" s="38">
        <v>426</v>
      </c>
      <c r="J46" s="38" t="s">
        <v>220</v>
      </c>
      <c r="R46" s="38">
        <v>1.07</v>
      </c>
      <c r="S46" s="38">
        <v>1.54</v>
      </c>
      <c r="T46" s="39">
        <v>16.399999999999999</v>
      </c>
      <c r="U46" s="39">
        <v>16.100000000000001</v>
      </c>
      <c r="V46" s="39"/>
      <c r="W46" s="39"/>
      <c r="X46" s="39">
        <v>10.199999999999999</v>
      </c>
      <c r="Y46" s="39"/>
      <c r="Z46" s="39"/>
      <c r="AA46" s="39">
        <v>11.7</v>
      </c>
      <c r="AB46" s="40">
        <f>AA46/6.25/100</f>
        <v>1.8720000000000001E-2</v>
      </c>
      <c r="AC46" s="39">
        <v>62</v>
      </c>
      <c r="AD46" s="39"/>
      <c r="AE46" s="38" t="s">
        <v>221</v>
      </c>
    </row>
    <row r="47" spans="1:32" s="28" customFormat="1" x14ac:dyDescent="0.25">
      <c r="A47" s="61" t="s">
        <v>222</v>
      </c>
      <c r="B47" s="28" t="s">
        <v>223</v>
      </c>
      <c r="D47" s="28" t="s">
        <v>211</v>
      </c>
      <c r="E47" s="28" t="s">
        <v>1789</v>
      </c>
      <c r="F47" s="69">
        <v>1252</v>
      </c>
      <c r="G47" s="69"/>
      <c r="T47" s="29"/>
      <c r="U47" s="29"/>
      <c r="V47" s="29"/>
      <c r="W47" s="29"/>
      <c r="X47" s="29"/>
      <c r="Y47" s="29"/>
      <c r="Z47" s="29"/>
      <c r="AA47" s="29"/>
      <c r="AB47" s="30"/>
      <c r="AC47" s="29"/>
      <c r="AD47" s="29"/>
    </row>
    <row r="48" spans="1:32" s="28" customFormat="1" x14ac:dyDescent="0.25">
      <c r="A48" s="61" t="s">
        <v>224</v>
      </c>
      <c r="B48" s="28" t="s">
        <v>225</v>
      </c>
      <c r="D48" s="28" t="s">
        <v>211</v>
      </c>
      <c r="E48" s="28" t="s">
        <v>1789</v>
      </c>
      <c r="F48" s="69" t="s">
        <v>1615</v>
      </c>
      <c r="G48" s="69"/>
      <c r="T48" s="29"/>
      <c r="U48" s="29"/>
      <c r="V48" s="29"/>
      <c r="W48" s="29"/>
      <c r="X48" s="29"/>
      <c r="Y48" s="29"/>
      <c r="Z48" s="29"/>
      <c r="AA48" s="29"/>
      <c r="AB48" s="30"/>
      <c r="AC48" s="29"/>
      <c r="AD48" s="29"/>
    </row>
    <row r="49" spans="1:33" s="28" customFormat="1" x14ac:dyDescent="0.25">
      <c r="A49" s="61" t="s">
        <v>226</v>
      </c>
      <c r="B49" s="28" t="s">
        <v>227</v>
      </c>
      <c r="D49" s="28" t="s">
        <v>211</v>
      </c>
      <c r="E49" s="28" t="s">
        <v>1789</v>
      </c>
      <c r="F49" s="69" t="s">
        <v>1616</v>
      </c>
      <c r="G49" s="69"/>
      <c r="T49" s="29"/>
      <c r="U49" s="29"/>
      <c r="V49" s="29"/>
      <c r="W49" s="29"/>
      <c r="X49" s="29"/>
      <c r="Y49" s="29"/>
      <c r="Z49" s="29"/>
      <c r="AA49" s="29"/>
      <c r="AB49" s="30"/>
      <c r="AC49" s="29"/>
      <c r="AD49" s="29"/>
    </row>
    <row r="50" spans="1:33" s="28" customFormat="1" x14ac:dyDescent="0.25">
      <c r="A50" s="61" t="s">
        <v>228</v>
      </c>
      <c r="B50" s="28" t="s">
        <v>229</v>
      </c>
      <c r="D50" s="28" t="s">
        <v>211</v>
      </c>
      <c r="E50" s="28" t="s">
        <v>1789</v>
      </c>
      <c r="F50" s="69">
        <v>1254</v>
      </c>
      <c r="G50" s="69"/>
      <c r="T50" s="29"/>
      <c r="U50" s="29"/>
      <c r="V50" s="29"/>
      <c r="W50" s="29"/>
      <c r="X50" s="29"/>
      <c r="Y50" s="29"/>
      <c r="Z50" s="29"/>
      <c r="AA50" s="29"/>
      <c r="AB50" s="30"/>
      <c r="AC50" s="29"/>
      <c r="AD50" s="29"/>
    </row>
    <row r="51" spans="1:33" s="31" customFormat="1" x14ac:dyDescent="0.25">
      <c r="A51" s="36" t="s">
        <v>230</v>
      </c>
      <c r="B51" s="31" t="s">
        <v>231</v>
      </c>
      <c r="C51" s="31" t="s">
        <v>54</v>
      </c>
      <c r="D51" s="31" t="s">
        <v>44</v>
      </c>
      <c r="E51" s="31" t="s">
        <v>1791</v>
      </c>
      <c r="F51" s="66" t="s">
        <v>1617</v>
      </c>
      <c r="G51" s="66" t="s">
        <v>1617</v>
      </c>
      <c r="H51" s="31">
        <v>446</v>
      </c>
      <c r="I51" s="31">
        <v>446</v>
      </c>
      <c r="J51" s="31" t="s">
        <v>232</v>
      </c>
      <c r="K51" s="31" t="str">
        <f>K6</f>
        <v>Y</v>
      </c>
      <c r="N51" s="31" t="str">
        <f>N6</f>
        <v>Y</v>
      </c>
      <c r="O51" s="31" t="str">
        <f>O6</f>
        <v>Y</v>
      </c>
      <c r="P51" s="31" t="str">
        <f>P6</f>
        <v>All</v>
      </c>
      <c r="Q51" s="31" t="s">
        <v>39</v>
      </c>
      <c r="T51" s="65">
        <f t="shared" ref="T51:AD51" si="2">T6</f>
        <v>87.26</v>
      </c>
      <c r="U51" s="53">
        <f t="shared" si="2"/>
        <v>18.716666666666601</v>
      </c>
      <c r="V51" s="53">
        <f t="shared" si="2"/>
        <v>16.099999999999898</v>
      </c>
      <c r="W51" s="53">
        <f t="shared" si="2"/>
        <v>16.4166666666666</v>
      </c>
      <c r="X51" s="53">
        <f t="shared" si="2"/>
        <v>13.5833333333333</v>
      </c>
      <c r="Y51" s="53">
        <f t="shared" si="2"/>
        <v>16.033333333333299</v>
      </c>
      <c r="Z51" s="53">
        <f t="shared" si="2"/>
        <v>15.1374999999999</v>
      </c>
      <c r="AA51" s="53">
        <f t="shared" si="2"/>
        <v>9.1</v>
      </c>
      <c r="AB51" s="53">
        <f t="shared" si="2"/>
        <v>1.456E-2</v>
      </c>
      <c r="AC51" s="53">
        <f t="shared" si="2"/>
        <v>66</v>
      </c>
      <c r="AD51" s="53">
        <f t="shared" si="2"/>
        <v>80.400000000000006</v>
      </c>
      <c r="AE51" s="52" t="s">
        <v>233</v>
      </c>
      <c r="AG51" s="31" t="s">
        <v>234</v>
      </c>
    </row>
    <row r="52" spans="1:33" s="31" customFormat="1" x14ac:dyDescent="0.25">
      <c r="A52" s="36" t="s">
        <v>235</v>
      </c>
      <c r="B52" s="31" t="s">
        <v>236</v>
      </c>
      <c r="D52" s="31" t="s">
        <v>163</v>
      </c>
      <c r="E52" s="31" t="s">
        <v>1791</v>
      </c>
      <c r="F52" s="66" t="s">
        <v>1618</v>
      </c>
      <c r="G52" s="66" t="s">
        <v>237</v>
      </c>
      <c r="H52" s="31">
        <v>463</v>
      </c>
      <c r="J52" s="31" t="s">
        <v>238</v>
      </c>
      <c r="T52" s="32">
        <f t="shared" ref="T52:AD52" si="3">IFERROR(AVERAGE(T30,T31,T32,T33,T34,T35,T36,T37,T39,T40),0)</f>
        <v>26.466666666666669</v>
      </c>
      <c r="U52" s="32">
        <f t="shared" si="3"/>
        <v>19.32</v>
      </c>
      <c r="V52" s="32">
        <f t="shared" si="3"/>
        <v>13.2</v>
      </c>
      <c r="W52" s="32">
        <f t="shared" si="3"/>
        <v>9.6999999999999993</v>
      </c>
      <c r="X52" s="32">
        <f t="shared" si="3"/>
        <v>10.266666666666666</v>
      </c>
      <c r="Y52" s="32">
        <f t="shared" si="3"/>
        <v>0</v>
      </c>
      <c r="Z52" s="32">
        <f t="shared" si="3"/>
        <v>0</v>
      </c>
      <c r="AA52" s="32">
        <f t="shared" si="3"/>
        <v>19.52</v>
      </c>
      <c r="AB52" s="32">
        <f t="shared" si="3"/>
        <v>3.1231999999999999E-2</v>
      </c>
      <c r="AC52" s="32">
        <f t="shared" si="3"/>
        <v>79.400000000000006</v>
      </c>
      <c r="AD52" s="32">
        <f t="shared" si="3"/>
        <v>0</v>
      </c>
      <c r="AE52" s="31" t="s">
        <v>239</v>
      </c>
    </row>
    <row r="53" spans="1:33" s="28" customFormat="1" x14ac:dyDescent="0.25">
      <c r="A53" s="61" t="s">
        <v>240</v>
      </c>
      <c r="B53" s="28" t="s">
        <v>241</v>
      </c>
      <c r="D53" s="28" t="s">
        <v>163</v>
      </c>
      <c r="E53" s="28" t="s">
        <v>1789</v>
      </c>
      <c r="F53" s="69">
        <v>1311</v>
      </c>
      <c r="G53" s="69"/>
      <c r="T53" s="29"/>
      <c r="U53" s="29"/>
      <c r="V53" s="29"/>
      <c r="W53" s="29"/>
      <c r="X53" s="29"/>
      <c r="Y53" s="29"/>
      <c r="Z53" s="29"/>
      <c r="AA53" s="29"/>
      <c r="AB53" s="30"/>
      <c r="AC53" s="29"/>
      <c r="AD53" s="29"/>
    </row>
    <row r="54" spans="1:33" s="48" customFormat="1" x14ac:dyDescent="0.25">
      <c r="A54" s="36" t="s">
        <v>242</v>
      </c>
      <c r="B54" s="50" t="s">
        <v>243</v>
      </c>
      <c r="C54" s="31" t="s">
        <v>244</v>
      </c>
      <c r="D54" s="31" t="s">
        <v>1608</v>
      </c>
      <c r="E54" s="31" t="s">
        <v>1791</v>
      </c>
      <c r="F54" s="70"/>
      <c r="G54" s="70">
        <v>1312</v>
      </c>
      <c r="I54" s="48">
        <v>486</v>
      </c>
      <c r="J54" s="48" t="s">
        <v>245</v>
      </c>
      <c r="P54" s="48" t="s">
        <v>114</v>
      </c>
      <c r="Q54" s="48" t="s">
        <v>39</v>
      </c>
      <c r="R54" s="48">
        <v>1</v>
      </c>
      <c r="S54" s="48">
        <v>0</v>
      </c>
      <c r="T54" s="46">
        <v>11.6</v>
      </c>
      <c r="U54" s="46">
        <v>17.399999999999999</v>
      </c>
      <c r="V54" s="46">
        <v>12.4</v>
      </c>
      <c r="W54" s="46">
        <v>5</v>
      </c>
      <c r="X54" s="46">
        <v>9.9</v>
      </c>
      <c r="Y54" s="46"/>
      <c r="Z54" s="46"/>
      <c r="AA54" s="46">
        <v>9.8000000000000007</v>
      </c>
      <c r="AB54" s="49">
        <f>AA54/6.25/100</f>
        <v>1.5679999999999999E-2</v>
      </c>
      <c r="AC54" s="58">
        <v>54.7</v>
      </c>
      <c r="AD54" s="46"/>
      <c r="AE54" s="48" t="s">
        <v>246</v>
      </c>
    </row>
    <row r="55" spans="1:33" s="48" customFormat="1" x14ac:dyDescent="0.25">
      <c r="A55" s="36" t="s">
        <v>247</v>
      </c>
      <c r="B55" s="50" t="s">
        <v>248</v>
      </c>
      <c r="C55" s="31" t="s">
        <v>249</v>
      </c>
      <c r="D55" s="31" t="s">
        <v>163</v>
      </c>
      <c r="E55" s="31" t="s">
        <v>1791</v>
      </c>
      <c r="F55" s="70">
        <v>1312</v>
      </c>
      <c r="G55" s="70">
        <v>1312</v>
      </c>
      <c r="H55" s="48">
        <v>486</v>
      </c>
      <c r="I55" s="48">
        <v>486</v>
      </c>
      <c r="J55" s="48" t="s">
        <v>250</v>
      </c>
      <c r="K55" s="48" t="s">
        <v>31</v>
      </c>
      <c r="L55" s="48" t="s">
        <v>31</v>
      </c>
      <c r="M55" s="48" t="s">
        <v>31</v>
      </c>
      <c r="N55" s="48" t="s">
        <v>31</v>
      </c>
      <c r="O55" s="48" t="s">
        <v>31</v>
      </c>
      <c r="P55" s="48" t="s">
        <v>32</v>
      </c>
      <c r="Q55" s="48" t="s">
        <v>39</v>
      </c>
      <c r="T55" s="46">
        <v>21.9</v>
      </c>
      <c r="U55" s="46">
        <v>17.100000000000001</v>
      </c>
      <c r="V55" s="46">
        <v>13.3</v>
      </c>
      <c r="W55" s="46">
        <v>14.2</v>
      </c>
      <c r="X55" s="46">
        <v>11.3</v>
      </c>
      <c r="Y55" s="46">
        <v>13.8</v>
      </c>
      <c r="Z55" s="46">
        <v>13.7</v>
      </c>
      <c r="AA55" s="46">
        <v>5.2</v>
      </c>
      <c r="AB55" s="49">
        <v>8.3199999999999993E-3</v>
      </c>
      <c r="AC55" s="46"/>
      <c r="AD55" s="46">
        <v>53.6</v>
      </c>
      <c r="AE55" s="48" t="s">
        <v>251</v>
      </c>
    </row>
    <row r="56" spans="1:33" s="31" customFormat="1" x14ac:dyDescent="0.25">
      <c r="A56" s="36" t="s">
        <v>252</v>
      </c>
      <c r="B56" s="31" t="s">
        <v>253</v>
      </c>
      <c r="D56" s="31" t="s">
        <v>163</v>
      </c>
      <c r="E56" s="31" t="s">
        <v>1791</v>
      </c>
      <c r="F56" s="66">
        <v>1313</v>
      </c>
      <c r="G56" s="66">
        <v>1313</v>
      </c>
      <c r="H56" s="31">
        <v>489</v>
      </c>
      <c r="I56" s="31">
        <v>489</v>
      </c>
      <c r="Q56" s="48" t="s">
        <v>39</v>
      </c>
      <c r="R56" s="48"/>
      <c r="S56" s="48"/>
      <c r="T56" s="32">
        <v>6.9</v>
      </c>
      <c r="U56" s="32">
        <v>16.899999999999999</v>
      </c>
      <c r="V56" s="32"/>
      <c r="W56" s="32">
        <v>5.75</v>
      </c>
      <c r="X56" s="32"/>
      <c r="Y56" s="32"/>
      <c r="Z56" s="32"/>
      <c r="AA56" s="32">
        <v>6.1</v>
      </c>
      <c r="AB56" s="33">
        <f t="shared" ref="AB56:AB67" si="4">AA56/6.25/100</f>
        <v>9.7599999999999996E-3</v>
      </c>
      <c r="AC56" s="32"/>
      <c r="AD56" s="32"/>
    </row>
    <row r="57" spans="1:33" s="31" customFormat="1" x14ac:dyDescent="0.25">
      <c r="A57" s="36" t="s">
        <v>254</v>
      </c>
      <c r="B57" s="31" t="s">
        <v>255</v>
      </c>
      <c r="D57" s="31" t="s">
        <v>163</v>
      </c>
      <c r="E57" s="31" t="s">
        <v>1791</v>
      </c>
      <c r="F57" s="66">
        <v>1314</v>
      </c>
      <c r="G57" s="66">
        <v>1314</v>
      </c>
      <c r="H57" s="31">
        <v>577</v>
      </c>
      <c r="I57" s="31">
        <v>577</v>
      </c>
      <c r="J57" s="31" t="s">
        <v>256</v>
      </c>
      <c r="K57" s="31" t="s">
        <v>31</v>
      </c>
      <c r="L57" s="31" t="s">
        <v>31</v>
      </c>
      <c r="M57" s="31" t="s">
        <v>31</v>
      </c>
      <c r="N57" s="31" t="s">
        <v>31</v>
      </c>
      <c r="O57" s="31" t="s">
        <v>31</v>
      </c>
      <c r="P57" s="31" t="s">
        <v>32</v>
      </c>
      <c r="Q57" s="48" t="s">
        <v>39</v>
      </c>
      <c r="R57" s="48"/>
      <c r="S57" s="48"/>
      <c r="T57" s="32">
        <v>84</v>
      </c>
      <c r="U57" s="32">
        <v>17.600000000000001</v>
      </c>
      <c r="V57" s="32">
        <v>14</v>
      </c>
      <c r="W57" s="32">
        <v>14.2</v>
      </c>
      <c r="X57" s="32">
        <v>11.9</v>
      </c>
      <c r="Y57" s="32"/>
      <c r="Z57" s="32"/>
      <c r="AA57" s="32">
        <v>3.7</v>
      </c>
      <c r="AB57" s="33">
        <f t="shared" si="4"/>
        <v>5.9200000000000008E-3</v>
      </c>
      <c r="AC57" s="32">
        <v>30.1</v>
      </c>
      <c r="AD57" s="32"/>
      <c r="AE57" s="31" t="s">
        <v>257</v>
      </c>
    </row>
    <row r="58" spans="1:33" s="31" customFormat="1" x14ac:dyDescent="0.25">
      <c r="A58" s="36" t="s">
        <v>258</v>
      </c>
      <c r="B58" s="31" t="s">
        <v>259</v>
      </c>
      <c r="D58" s="31" t="s">
        <v>163</v>
      </c>
      <c r="E58" s="31" t="s">
        <v>1791</v>
      </c>
      <c r="F58" s="66">
        <v>1315</v>
      </c>
      <c r="G58" s="66">
        <v>1315</v>
      </c>
      <c r="H58" s="31">
        <v>569</v>
      </c>
      <c r="I58" s="31">
        <v>569</v>
      </c>
      <c r="J58" s="31" t="s">
        <v>260</v>
      </c>
      <c r="K58" s="31" t="s">
        <v>31</v>
      </c>
      <c r="Q58" s="48" t="s">
        <v>39</v>
      </c>
      <c r="R58" s="48"/>
      <c r="S58" s="48"/>
      <c r="T58" s="32">
        <v>32</v>
      </c>
      <c r="U58" s="32">
        <v>17</v>
      </c>
      <c r="V58" s="32"/>
      <c r="W58" s="32"/>
      <c r="X58" s="32">
        <v>9.6999999999999993</v>
      </c>
      <c r="Y58" s="32"/>
      <c r="Z58" s="32"/>
      <c r="AA58" s="32">
        <v>13.9</v>
      </c>
      <c r="AB58" s="33">
        <f t="shared" si="4"/>
        <v>2.2240000000000003E-2</v>
      </c>
      <c r="AC58" s="32">
        <v>68.400000000000006</v>
      </c>
      <c r="AD58" s="32"/>
      <c r="AE58" s="31" t="s">
        <v>261</v>
      </c>
      <c r="AF58" s="31" t="s">
        <v>124</v>
      </c>
    </row>
    <row r="59" spans="1:33" s="31" customFormat="1" x14ac:dyDescent="0.25">
      <c r="A59" s="36" t="s">
        <v>262</v>
      </c>
      <c r="B59" s="31" t="s">
        <v>263</v>
      </c>
      <c r="D59" s="31" t="s">
        <v>163</v>
      </c>
      <c r="E59" s="31" t="s">
        <v>1791</v>
      </c>
      <c r="F59" s="66">
        <v>1316</v>
      </c>
      <c r="G59" s="66">
        <v>1316</v>
      </c>
      <c r="H59" s="31">
        <v>571</v>
      </c>
      <c r="I59" s="31">
        <v>571</v>
      </c>
      <c r="J59" s="31" t="s">
        <v>264</v>
      </c>
      <c r="K59" s="31" t="s">
        <v>31</v>
      </c>
      <c r="L59" s="31" t="s">
        <v>31</v>
      </c>
      <c r="M59" s="31" t="s">
        <v>31</v>
      </c>
      <c r="N59" s="31" t="s">
        <v>31</v>
      </c>
      <c r="O59" s="31" t="s">
        <v>31</v>
      </c>
      <c r="P59" s="31" t="s">
        <v>32</v>
      </c>
      <c r="Q59" s="48" t="s">
        <v>39</v>
      </c>
      <c r="R59" s="48"/>
      <c r="S59" s="48"/>
      <c r="T59" s="32">
        <v>59.17</v>
      </c>
      <c r="U59" s="32">
        <v>18.3</v>
      </c>
      <c r="V59" s="32">
        <v>16.399999999999999</v>
      </c>
      <c r="W59" s="32">
        <v>14</v>
      </c>
      <c r="X59" s="32">
        <v>11.9</v>
      </c>
      <c r="Y59" s="32"/>
      <c r="Z59" s="32">
        <v>10.8</v>
      </c>
      <c r="AA59" s="32">
        <v>5.7</v>
      </c>
      <c r="AB59" s="33">
        <f t="shared" si="4"/>
        <v>9.1199999999999996E-3</v>
      </c>
      <c r="AC59" s="24">
        <v>72.099999999999994</v>
      </c>
      <c r="AD59" s="32"/>
      <c r="AE59" s="31" t="s">
        <v>265</v>
      </c>
    </row>
    <row r="60" spans="1:33" s="31" customFormat="1" x14ac:dyDescent="0.25">
      <c r="A60" s="36" t="s">
        <v>266</v>
      </c>
      <c r="B60" s="31" t="s">
        <v>267</v>
      </c>
      <c r="D60" s="31" t="s">
        <v>163</v>
      </c>
      <c r="E60" s="31" t="s">
        <v>1791</v>
      </c>
      <c r="F60" s="66">
        <v>1317</v>
      </c>
      <c r="G60" s="66">
        <v>1317</v>
      </c>
      <c r="H60" s="31">
        <v>600</v>
      </c>
      <c r="I60" s="31">
        <v>600</v>
      </c>
      <c r="J60" s="31" t="s">
        <v>268</v>
      </c>
      <c r="L60" s="31" t="s">
        <v>31</v>
      </c>
      <c r="M60" s="31" t="s">
        <v>31</v>
      </c>
      <c r="N60" s="31" t="s">
        <v>31</v>
      </c>
      <c r="Q60" s="48" t="s">
        <v>39</v>
      </c>
      <c r="R60" s="48"/>
      <c r="S60" s="48"/>
      <c r="T60" s="32">
        <v>44.6</v>
      </c>
      <c r="U60" s="32">
        <v>17.5</v>
      </c>
      <c r="V60" s="32"/>
      <c r="W60" s="32">
        <v>11.4</v>
      </c>
      <c r="X60" s="32"/>
      <c r="Y60" s="32"/>
      <c r="Z60" s="32"/>
      <c r="AA60" s="32">
        <v>17.5</v>
      </c>
      <c r="AB60" s="33">
        <f t="shared" si="4"/>
        <v>2.7999999999999997E-2</v>
      </c>
      <c r="AC60" s="32"/>
      <c r="AD60" s="32"/>
      <c r="AE60" s="31" t="s">
        <v>269</v>
      </c>
    </row>
    <row r="61" spans="1:33" s="31" customFormat="1" x14ac:dyDescent="0.25">
      <c r="A61" s="36" t="s">
        <v>270</v>
      </c>
      <c r="B61" s="31" t="s">
        <v>271</v>
      </c>
      <c r="D61" s="31" t="s">
        <v>163</v>
      </c>
      <c r="E61" s="31" t="s">
        <v>1791</v>
      </c>
      <c r="F61" s="66">
        <v>1321</v>
      </c>
      <c r="G61" s="66">
        <v>1321</v>
      </c>
      <c r="H61" s="31">
        <v>507</v>
      </c>
      <c r="I61" s="31">
        <v>507</v>
      </c>
      <c r="J61" s="31" t="s">
        <v>272</v>
      </c>
      <c r="K61" s="31" t="s">
        <v>31</v>
      </c>
      <c r="M61" s="31" t="s">
        <v>31</v>
      </c>
      <c r="N61" s="31" t="s">
        <v>31</v>
      </c>
      <c r="Q61" s="48" t="s">
        <v>39</v>
      </c>
      <c r="R61" s="48"/>
      <c r="S61" s="48"/>
      <c r="T61" s="32">
        <v>12.7</v>
      </c>
      <c r="U61" s="32">
        <v>17.899999999999999</v>
      </c>
      <c r="V61" s="32"/>
      <c r="W61" s="32">
        <v>13.7</v>
      </c>
      <c r="X61" s="32"/>
      <c r="Y61" s="32"/>
      <c r="Z61" s="32"/>
      <c r="AA61" s="32">
        <v>7</v>
      </c>
      <c r="AB61" s="33">
        <f t="shared" si="4"/>
        <v>1.1200000000000002E-2</v>
      </c>
      <c r="AC61" s="32"/>
      <c r="AD61" s="32"/>
      <c r="AE61" s="31" t="s">
        <v>273</v>
      </c>
    </row>
    <row r="62" spans="1:33" s="31" customFormat="1" x14ac:dyDescent="0.25">
      <c r="A62" s="36" t="s">
        <v>274</v>
      </c>
      <c r="B62" s="31" t="s">
        <v>275</v>
      </c>
      <c r="D62" s="31" t="s">
        <v>163</v>
      </c>
      <c r="E62" s="31" t="s">
        <v>1791</v>
      </c>
      <c r="F62" s="66">
        <v>1322</v>
      </c>
      <c r="G62" s="66">
        <v>1322</v>
      </c>
      <c r="H62" s="31">
        <v>497</v>
      </c>
      <c r="I62" s="31">
        <v>497</v>
      </c>
      <c r="J62" s="31" t="s">
        <v>276</v>
      </c>
      <c r="K62" s="31" t="s">
        <v>31</v>
      </c>
      <c r="M62" s="31" t="s">
        <v>31</v>
      </c>
      <c r="N62" s="31" t="s">
        <v>31</v>
      </c>
      <c r="Q62" s="48" t="s">
        <v>39</v>
      </c>
      <c r="R62" s="48"/>
      <c r="S62" s="48"/>
      <c r="T62" s="32">
        <v>62</v>
      </c>
      <c r="U62" s="32">
        <v>18.5</v>
      </c>
      <c r="V62" s="32">
        <v>12.3</v>
      </c>
      <c r="W62" s="32">
        <v>7.8</v>
      </c>
      <c r="X62" s="32">
        <v>10.199999999999999</v>
      </c>
      <c r="Y62" s="32"/>
      <c r="Z62" s="32"/>
      <c r="AA62" s="32">
        <v>9.6999999999999993</v>
      </c>
      <c r="AB62" s="33">
        <f t="shared" si="4"/>
        <v>1.5519999999999999E-2</v>
      </c>
      <c r="AD62" s="32">
        <v>41.4</v>
      </c>
      <c r="AE62" s="31" t="s">
        <v>277</v>
      </c>
    </row>
    <row r="63" spans="1:33" s="38" customFormat="1" x14ac:dyDescent="0.25">
      <c r="A63" s="57" t="s">
        <v>278</v>
      </c>
      <c r="B63" s="38" t="s">
        <v>279</v>
      </c>
      <c r="D63" s="38" t="s">
        <v>163</v>
      </c>
      <c r="E63" s="38" t="s">
        <v>1790</v>
      </c>
      <c r="F63" s="68"/>
      <c r="G63" s="68">
        <v>1322</v>
      </c>
      <c r="I63" s="38">
        <v>497</v>
      </c>
      <c r="J63" s="38" t="s">
        <v>279</v>
      </c>
      <c r="K63" s="38" t="s">
        <v>31</v>
      </c>
      <c r="L63" s="38" t="s">
        <v>31</v>
      </c>
      <c r="M63" s="38" t="s">
        <v>31</v>
      </c>
      <c r="N63" s="38" t="s">
        <v>31</v>
      </c>
      <c r="O63" s="38" t="s">
        <v>31</v>
      </c>
      <c r="P63" s="38" t="s">
        <v>32</v>
      </c>
      <c r="T63" s="39">
        <v>17.5</v>
      </c>
      <c r="U63" s="39">
        <v>18.3</v>
      </c>
      <c r="V63" s="39"/>
      <c r="W63" s="39">
        <v>14.1</v>
      </c>
      <c r="Y63" s="39">
        <v>13.6</v>
      </c>
      <c r="Z63" s="39">
        <v>6.7</v>
      </c>
      <c r="AA63" s="39">
        <v>6.5</v>
      </c>
      <c r="AB63" s="40">
        <f t="shared" si="4"/>
        <v>1.04E-2</v>
      </c>
      <c r="AC63" s="38">
        <v>64.5</v>
      </c>
      <c r="AD63" s="39">
        <v>64.7</v>
      </c>
      <c r="AE63" s="47" t="s">
        <v>280</v>
      </c>
    </row>
    <row r="64" spans="1:33" s="31" customFormat="1" x14ac:dyDescent="0.25">
      <c r="A64" s="36" t="s">
        <v>281</v>
      </c>
      <c r="B64" s="31" t="s">
        <v>282</v>
      </c>
      <c r="D64" s="31" t="s">
        <v>163</v>
      </c>
      <c r="E64" s="31" t="s">
        <v>1791</v>
      </c>
      <c r="F64" s="66">
        <v>1323</v>
      </c>
      <c r="G64" s="66">
        <v>1323</v>
      </c>
      <c r="H64" s="31">
        <v>490</v>
      </c>
      <c r="I64" s="31">
        <v>490</v>
      </c>
      <c r="J64" s="31" t="s">
        <v>283</v>
      </c>
      <c r="K64" s="31" t="s">
        <v>31</v>
      </c>
      <c r="L64" s="31" t="s">
        <v>31</v>
      </c>
      <c r="N64" s="31" t="s">
        <v>31</v>
      </c>
      <c r="Q64" s="48" t="s">
        <v>39</v>
      </c>
      <c r="R64" s="48"/>
      <c r="S64" s="48"/>
      <c r="T64" s="32">
        <v>17.850000000000001</v>
      </c>
      <c r="U64" s="32">
        <v>18.2</v>
      </c>
      <c r="V64" s="32">
        <v>16.2</v>
      </c>
      <c r="W64" s="32">
        <v>13.9</v>
      </c>
      <c r="X64" s="32">
        <v>13.6</v>
      </c>
      <c r="Y64" s="32"/>
      <c r="Z64" s="32"/>
      <c r="AA64" s="32">
        <v>7.3</v>
      </c>
      <c r="AB64" s="33">
        <f t="shared" si="4"/>
        <v>1.1679999999999999E-2</v>
      </c>
      <c r="AC64" s="32">
        <v>72.3</v>
      </c>
      <c r="AD64" s="32">
        <v>67.7</v>
      </c>
      <c r="AE64" s="31" t="s">
        <v>284</v>
      </c>
    </row>
    <row r="65" spans="1:33" s="31" customFormat="1" x14ac:dyDescent="0.25">
      <c r="A65" s="36" t="s">
        <v>285</v>
      </c>
      <c r="B65" s="31" t="s">
        <v>286</v>
      </c>
      <c r="D65" s="31" t="s">
        <v>163</v>
      </c>
      <c r="E65" s="31" t="s">
        <v>1791</v>
      </c>
      <c r="F65" s="66">
        <v>1330</v>
      </c>
      <c r="G65" s="66">
        <v>1330</v>
      </c>
      <c r="H65" s="31">
        <v>560</v>
      </c>
      <c r="I65" s="31">
        <v>560</v>
      </c>
      <c r="J65" s="31" t="s">
        <v>287</v>
      </c>
      <c r="K65" s="31" t="s">
        <v>31</v>
      </c>
      <c r="L65" s="31" t="s">
        <v>31</v>
      </c>
      <c r="Q65" s="48" t="s">
        <v>39</v>
      </c>
      <c r="R65" s="48"/>
      <c r="S65" s="48"/>
      <c r="T65" s="32">
        <v>45.45</v>
      </c>
      <c r="U65" s="32">
        <v>18.3</v>
      </c>
      <c r="V65" s="32">
        <v>7</v>
      </c>
      <c r="X65" s="32">
        <v>5.7</v>
      </c>
      <c r="Y65" s="32"/>
      <c r="Z65" s="32"/>
      <c r="AA65" s="32">
        <v>7.5</v>
      </c>
      <c r="AB65" s="33">
        <f t="shared" si="4"/>
        <v>1.2E-2</v>
      </c>
      <c r="AC65" s="32">
        <v>7.9</v>
      </c>
      <c r="AD65" s="32"/>
      <c r="AE65" s="31" t="s">
        <v>288</v>
      </c>
    </row>
    <row r="66" spans="1:33" s="31" customFormat="1" x14ac:dyDescent="0.25">
      <c r="A66" s="36" t="s">
        <v>289</v>
      </c>
      <c r="B66" s="31" t="s">
        <v>290</v>
      </c>
      <c r="D66" s="31" t="s">
        <v>163</v>
      </c>
      <c r="E66" s="31" t="s">
        <v>1791</v>
      </c>
      <c r="F66" s="66">
        <v>1341</v>
      </c>
      <c r="G66" s="66">
        <v>1341</v>
      </c>
      <c r="H66" s="31">
        <v>515</v>
      </c>
      <c r="I66" s="31">
        <v>515</v>
      </c>
      <c r="J66" s="31" t="s">
        <v>291</v>
      </c>
      <c r="K66" s="31" t="s">
        <v>31</v>
      </c>
      <c r="L66" s="31" t="s">
        <v>31</v>
      </c>
      <c r="M66" s="31" t="s">
        <v>31</v>
      </c>
      <c r="N66" s="31" t="s">
        <v>31</v>
      </c>
      <c r="O66" s="31" t="s">
        <v>31</v>
      </c>
      <c r="P66" s="31" t="s">
        <v>32</v>
      </c>
      <c r="Q66" s="48" t="s">
        <v>39</v>
      </c>
      <c r="R66" s="48"/>
      <c r="S66" s="48"/>
      <c r="T66" s="32">
        <v>20.8</v>
      </c>
      <c r="U66" s="32">
        <v>19</v>
      </c>
      <c r="V66" s="32">
        <v>12.8</v>
      </c>
      <c r="W66" s="31">
        <v>10</v>
      </c>
      <c r="X66" s="32">
        <v>10.7</v>
      </c>
      <c r="Y66" s="32"/>
      <c r="Z66" s="32"/>
      <c r="AA66" s="32">
        <v>6.8</v>
      </c>
      <c r="AB66" s="33">
        <f t="shared" si="4"/>
        <v>1.0880000000000001E-2</v>
      </c>
      <c r="AC66" s="32">
        <v>51.8</v>
      </c>
      <c r="AD66" s="32">
        <v>58</v>
      </c>
      <c r="AE66" s="31" t="s">
        <v>292</v>
      </c>
      <c r="AG66" s="31" t="s">
        <v>293</v>
      </c>
    </row>
    <row r="67" spans="1:33" s="38" customFormat="1" x14ac:dyDescent="0.25">
      <c r="A67" s="57" t="s">
        <v>294</v>
      </c>
      <c r="B67" s="38" t="s">
        <v>295</v>
      </c>
      <c r="D67" s="38" t="s">
        <v>296</v>
      </c>
      <c r="E67" s="38" t="s">
        <v>1790</v>
      </c>
      <c r="F67" s="68"/>
      <c r="G67" s="68">
        <v>1341</v>
      </c>
      <c r="I67" s="38">
        <v>515</v>
      </c>
      <c r="J67" s="38" t="s">
        <v>295</v>
      </c>
      <c r="K67" s="38" t="s">
        <v>31</v>
      </c>
      <c r="L67" s="38" t="s">
        <v>31</v>
      </c>
      <c r="M67" s="38" t="s">
        <v>31</v>
      </c>
      <c r="N67" s="38" t="s">
        <v>31</v>
      </c>
      <c r="O67" s="38" t="s">
        <v>31</v>
      </c>
      <c r="P67" s="38" t="s">
        <v>32</v>
      </c>
      <c r="T67" s="39">
        <v>91.2</v>
      </c>
      <c r="U67" s="39">
        <v>19.399999999999999</v>
      </c>
      <c r="V67" s="39">
        <v>10.4</v>
      </c>
      <c r="W67" s="39">
        <v>5.3</v>
      </c>
      <c r="X67" s="39">
        <v>8.5</v>
      </c>
      <c r="Y67" s="39">
        <v>4.7</v>
      </c>
      <c r="Z67" s="39"/>
      <c r="AA67" s="39">
        <v>8</v>
      </c>
      <c r="AB67" s="40">
        <f t="shared" si="4"/>
        <v>1.2800000000000001E-2</v>
      </c>
      <c r="AC67" s="39">
        <v>50</v>
      </c>
      <c r="AD67" s="39">
        <v>40.1</v>
      </c>
      <c r="AE67" s="47" t="s">
        <v>297</v>
      </c>
      <c r="AG67" s="38" t="s">
        <v>293</v>
      </c>
    </row>
    <row r="68" spans="1:33" s="28" customFormat="1" x14ac:dyDescent="0.25">
      <c r="A68" s="61" t="s">
        <v>298</v>
      </c>
      <c r="B68" s="28" t="s">
        <v>299</v>
      </c>
      <c r="D68" s="28" t="s">
        <v>163</v>
      </c>
      <c r="E68" s="28" t="s">
        <v>1789</v>
      </c>
      <c r="F68" s="69" t="s">
        <v>1619</v>
      </c>
      <c r="G68" s="69"/>
      <c r="T68" s="29"/>
      <c r="U68" s="29"/>
      <c r="V68" s="29"/>
      <c r="W68" s="29"/>
      <c r="X68" s="29"/>
      <c r="Y68" s="29"/>
      <c r="Z68" s="29"/>
      <c r="AA68" s="29"/>
      <c r="AB68" s="30"/>
      <c r="AC68" s="29"/>
      <c r="AD68" s="29"/>
    </row>
    <row r="69" spans="1:33" s="28" customFormat="1" x14ac:dyDescent="0.25">
      <c r="A69" s="61" t="s">
        <v>300</v>
      </c>
      <c r="B69" s="28" t="s">
        <v>301</v>
      </c>
      <c r="D69" s="28" t="s">
        <v>163</v>
      </c>
      <c r="E69" s="28" t="s">
        <v>1789</v>
      </c>
      <c r="F69" s="69" t="s">
        <v>1620</v>
      </c>
      <c r="G69" s="69"/>
      <c r="T69" s="29"/>
      <c r="U69" s="29"/>
      <c r="V69" s="29"/>
      <c r="W69" s="29"/>
      <c r="X69" s="29"/>
      <c r="Y69" s="29"/>
      <c r="Z69" s="29"/>
      <c r="AA69" s="29"/>
      <c r="AB69" s="30"/>
      <c r="AD69" s="29"/>
    </row>
    <row r="70" spans="1:33" s="28" customFormat="1" x14ac:dyDescent="0.25">
      <c r="A70" s="61" t="s">
        <v>302</v>
      </c>
      <c r="B70" s="28" t="s">
        <v>303</v>
      </c>
      <c r="D70" s="28" t="s">
        <v>163</v>
      </c>
      <c r="E70" s="28" t="s">
        <v>1789</v>
      </c>
      <c r="F70" s="69">
        <v>1343</v>
      </c>
      <c r="G70" s="69"/>
      <c r="T70" s="29"/>
      <c r="U70" s="29"/>
      <c r="V70" s="29"/>
      <c r="W70" s="29"/>
      <c r="X70" s="29"/>
      <c r="Y70" s="29"/>
      <c r="Z70" s="29"/>
      <c r="AA70" s="29"/>
      <c r="AB70" s="30"/>
      <c r="AC70" s="29"/>
      <c r="AD70" s="29"/>
    </row>
    <row r="71" spans="1:33" s="28" customFormat="1" x14ac:dyDescent="0.25">
      <c r="A71" s="61" t="s">
        <v>304</v>
      </c>
      <c r="B71" s="28" t="s">
        <v>305</v>
      </c>
      <c r="D71" s="28" t="s">
        <v>163</v>
      </c>
      <c r="E71" s="28" t="s">
        <v>1789</v>
      </c>
      <c r="F71" s="69" t="s">
        <v>1621</v>
      </c>
      <c r="G71" s="69"/>
      <c r="T71" s="29"/>
      <c r="U71" s="29"/>
      <c r="V71" s="29"/>
      <c r="W71" s="29"/>
      <c r="X71" s="29"/>
      <c r="Y71" s="29"/>
      <c r="Z71" s="29"/>
      <c r="AA71" s="29"/>
      <c r="AB71" s="30"/>
      <c r="AC71" s="29"/>
      <c r="AD71" s="29"/>
    </row>
    <row r="72" spans="1:33" s="28" customFormat="1" x14ac:dyDescent="0.25">
      <c r="A72" s="61" t="s">
        <v>306</v>
      </c>
      <c r="B72" s="28" t="s">
        <v>307</v>
      </c>
      <c r="D72" s="28" t="s">
        <v>163</v>
      </c>
      <c r="E72" s="28" t="s">
        <v>1789</v>
      </c>
      <c r="F72" s="69" t="s">
        <v>1622</v>
      </c>
      <c r="G72" s="69"/>
      <c r="T72" s="29"/>
      <c r="U72" s="29"/>
      <c r="V72" s="29"/>
      <c r="W72" s="29"/>
      <c r="X72" s="29"/>
      <c r="Y72" s="29"/>
      <c r="Z72" s="29"/>
      <c r="AA72" s="29"/>
      <c r="AB72" s="30"/>
      <c r="AC72" s="29"/>
      <c r="AD72" s="29"/>
    </row>
    <row r="73" spans="1:33" s="28" customFormat="1" x14ac:dyDescent="0.25">
      <c r="A73" s="61" t="s">
        <v>308</v>
      </c>
      <c r="B73" s="28" t="s">
        <v>309</v>
      </c>
      <c r="D73" s="28" t="s">
        <v>163</v>
      </c>
      <c r="E73" s="28" t="s">
        <v>1789</v>
      </c>
      <c r="F73" s="69">
        <v>1345</v>
      </c>
      <c r="G73" s="69"/>
      <c r="T73" s="29"/>
      <c r="U73" s="29"/>
      <c r="V73" s="29"/>
      <c r="W73" s="29"/>
      <c r="X73" s="29"/>
      <c r="Y73" s="29"/>
      <c r="Z73" s="29"/>
      <c r="AA73" s="29"/>
      <c r="AB73" s="30"/>
      <c r="AC73" s="29"/>
      <c r="AD73" s="29"/>
    </row>
    <row r="74" spans="1:33" s="28" customFormat="1" x14ac:dyDescent="0.25">
      <c r="A74" s="61" t="s">
        <v>310</v>
      </c>
      <c r="B74" s="28" t="s">
        <v>311</v>
      </c>
      <c r="D74" s="28" t="s">
        <v>163</v>
      </c>
      <c r="E74" s="28" t="s">
        <v>1789</v>
      </c>
      <c r="F74" s="69">
        <v>1346</v>
      </c>
      <c r="G74" s="69"/>
      <c r="T74" s="29"/>
      <c r="U74" s="29"/>
      <c r="V74" s="29"/>
      <c r="W74" s="29"/>
      <c r="X74" s="29"/>
      <c r="Y74" s="29"/>
      <c r="Z74" s="29"/>
      <c r="AA74" s="29"/>
      <c r="AB74" s="30"/>
      <c r="AC74" s="29"/>
      <c r="AD74" s="29"/>
    </row>
    <row r="75" spans="1:33" s="28" customFormat="1" x14ac:dyDescent="0.25">
      <c r="A75" s="61" t="s">
        <v>312</v>
      </c>
      <c r="B75" s="28" t="s">
        <v>313</v>
      </c>
      <c r="D75" s="28" t="s">
        <v>163</v>
      </c>
      <c r="E75" s="28" t="s">
        <v>1789</v>
      </c>
      <c r="F75" s="69" t="s">
        <v>1623</v>
      </c>
      <c r="G75" s="69"/>
      <c r="T75" s="29"/>
      <c r="U75" s="29"/>
      <c r="V75" s="29"/>
      <c r="W75" s="29"/>
      <c r="X75" s="29"/>
      <c r="Y75" s="29"/>
      <c r="Z75" s="29"/>
      <c r="AA75" s="29"/>
      <c r="AB75" s="30"/>
      <c r="AC75" s="29"/>
      <c r="AD75" s="29"/>
    </row>
    <row r="76" spans="1:33" s="31" customFormat="1" x14ac:dyDescent="0.25">
      <c r="A76" s="36" t="s">
        <v>314</v>
      </c>
      <c r="B76" s="31" t="s">
        <v>315</v>
      </c>
      <c r="D76" s="31" t="s">
        <v>201</v>
      </c>
      <c r="E76" s="31" t="s">
        <v>1791</v>
      </c>
      <c r="F76" s="66">
        <v>1356</v>
      </c>
      <c r="G76" s="66">
        <v>1356</v>
      </c>
      <c r="H76" s="31">
        <v>461</v>
      </c>
      <c r="I76" s="31">
        <v>461</v>
      </c>
      <c r="J76" s="31" t="s">
        <v>316</v>
      </c>
      <c r="L76" s="31" t="s">
        <v>31</v>
      </c>
      <c r="M76" s="31" t="s">
        <v>31</v>
      </c>
      <c r="N76" s="31" t="s">
        <v>31</v>
      </c>
      <c r="Q76" s="31" t="s">
        <v>39</v>
      </c>
      <c r="T76" s="32">
        <v>86.7</v>
      </c>
      <c r="U76" s="32">
        <v>18.7</v>
      </c>
      <c r="V76" s="32">
        <v>13.6</v>
      </c>
      <c r="W76" s="32">
        <v>12.5</v>
      </c>
      <c r="X76" s="32">
        <v>10.9</v>
      </c>
      <c r="Y76" s="32">
        <v>10.8</v>
      </c>
      <c r="Z76" s="32"/>
      <c r="AA76" s="32">
        <v>20</v>
      </c>
      <c r="AB76" s="33">
        <f>AA76/6.25/100</f>
        <v>3.2000000000000001E-2</v>
      </c>
      <c r="AC76" s="31">
        <v>46.6</v>
      </c>
      <c r="AD76" s="32">
        <v>70.599999999999994</v>
      </c>
      <c r="AE76" s="31" t="s">
        <v>317</v>
      </c>
    </row>
    <row r="77" spans="1:33" s="31" customFormat="1" x14ac:dyDescent="0.25">
      <c r="A77" s="36" t="s">
        <v>318</v>
      </c>
      <c r="B77" s="31" t="s">
        <v>319</v>
      </c>
      <c r="C77" s="31" t="s">
        <v>320</v>
      </c>
      <c r="D77" s="31" t="s">
        <v>321</v>
      </c>
      <c r="E77" s="31" t="s">
        <v>1791</v>
      </c>
      <c r="F77" s="66">
        <v>141</v>
      </c>
      <c r="G77" s="66">
        <v>141</v>
      </c>
      <c r="H77" s="31">
        <v>236</v>
      </c>
      <c r="I77" s="31">
        <v>236</v>
      </c>
      <c r="J77" s="31" t="s">
        <v>322</v>
      </c>
      <c r="P77" s="31" t="s">
        <v>114</v>
      </c>
      <c r="Q77" s="31" t="s">
        <v>39</v>
      </c>
      <c r="T77" s="32">
        <v>88.7</v>
      </c>
      <c r="U77" s="32">
        <v>23.6</v>
      </c>
      <c r="V77" s="32">
        <v>19.8</v>
      </c>
      <c r="W77" s="32">
        <v>19.3</v>
      </c>
      <c r="X77" s="32">
        <v>15.3</v>
      </c>
      <c r="Y77" s="32">
        <v>14</v>
      </c>
      <c r="Z77" s="32">
        <v>16.55</v>
      </c>
      <c r="AA77" s="32">
        <v>39.6</v>
      </c>
      <c r="AB77" s="33">
        <v>6.336E-2</v>
      </c>
      <c r="AC77" s="31">
        <v>92.5</v>
      </c>
      <c r="AD77" s="31">
        <v>86.5</v>
      </c>
      <c r="AE77" s="34" t="s">
        <v>323</v>
      </c>
    </row>
    <row r="78" spans="1:33" s="31" customFormat="1" x14ac:dyDescent="0.25">
      <c r="A78" s="36" t="s">
        <v>324</v>
      </c>
      <c r="B78" s="31" t="s">
        <v>325</v>
      </c>
      <c r="D78" s="31" t="s">
        <v>321</v>
      </c>
      <c r="E78" s="31" t="s">
        <v>1791</v>
      </c>
      <c r="F78" s="66">
        <v>142</v>
      </c>
      <c r="G78" s="66">
        <v>142</v>
      </c>
      <c r="H78" s="31">
        <v>242</v>
      </c>
      <c r="I78" s="31">
        <v>242</v>
      </c>
      <c r="J78" s="31" t="s">
        <v>326</v>
      </c>
      <c r="K78" s="31" t="s">
        <v>31</v>
      </c>
      <c r="L78" s="31" t="s">
        <v>31</v>
      </c>
      <c r="N78" s="31" t="s">
        <v>31</v>
      </c>
      <c r="Q78" s="31" t="s">
        <v>39</v>
      </c>
      <c r="T78" s="32">
        <v>92.9</v>
      </c>
      <c r="U78" s="31">
        <v>25.9</v>
      </c>
      <c r="V78" s="31">
        <v>22.9</v>
      </c>
      <c r="W78" s="31">
        <v>12.5</v>
      </c>
      <c r="X78" s="31">
        <v>18.2</v>
      </c>
      <c r="AA78" s="31">
        <v>20.399999999999999</v>
      </c>
      <c r="AB78" s="33"/>
      <c r="AC78" s="31">
        <v>74</v>
      </c>
      <c r="AE78" s="35" t="s">
        <v>327</v>
      </c>
    </row>
    <row r="79" spans="1:33" s="31" customFormat="1" x14ac:dyDescent="0.25">
      <c r="A79" s="36" t="s">
        <v>328</v>
      </c>
      <c r="B79" s="31" t="s">
        <v>329</v>
      </c>
      <c r="D79" s="31" t="s">
        <v>321</v>
      </c>
      <c r="E79" s="31" t="s">
        <v>1791</v>
      </c>
      <c r="F79" s="66">
        <v>143</v>
      </c>
      <c r="G79" s="71" t="s">
        <v>330</v>
      </c>
      <c r="H79" s="31">
        <v>329</v>
      </c>
      <c r="I79" s="31">
        <v>328</v>
      </c>
      <c r="J79" s="31" t="s">
        <v>331</v>
      </c>
      <c r="K79" s="31" t="s">
        <v>31</v>
      </c>
      <c r="L79" s="31" t="s">
        <v>31</v>
      </c>
      <c r="M79" s="31" t="s">
        <v>31</v>
      </c>
      <c r="N79" s="31" t="s">
        <v>31</v>
      </c>
      <c r="O79" s="31" t="s">
        <v>31</v>
      </c>
      <c r="P79" s="31" t="s">
        <v>32</v>
      </c>
      <c r="Q79" s="31" t="s">
        <v>39</v>
      </c>
      <c r="T79" s="32">
        <v>92.3</v>
      </c>
      <c r="U79" s="32">
        <v>23.8</v>
      </c>
      <c r="V79" s="32">
        <v>15.2</v>
      </c>
      <c r="W79" s="32">
        <v>15.2</v>
      </c>
      <c r="X79" s="32">
        <v>12</v>
      </c>
      <c r="Y79" s="32">
        <v>13.4</v>
      </c>
      <c r="Z79" s="32">
        <f>AVERAGE(11,10.1)</f>
        <v>10.55</v>
      </c>
      <c r="AA79" s="32">
        <v>21.8</v>
      </c>
      <c r="AB79" s="33">
        <f t="shared" ref="AB79:AB84" si="5">AA79/6.25/100</f>
        <v>3.4880000000000001E-2</v>
      </c>
      <c r="AC79" s="32">
        <v>70.2</v>
      </c>
      <c r="AD79" s="32">
        <v>66</v>
      </c>
      <c r="AE79" s="31" t="s">
        <v>332</v>
      </c>
      <c r="AF79" s="31" t="s">
        <v>333</v>
      </c>
      <c r="AG79" s="31" t="s">
        <v>293</v>
      </c>
    </row>
    <row r="80" spans="1:33" s="31" customFormat="1" x14ac:dyDescent="0.25">
      <c r="A80" s="36" t="s">
        <v>334</v>
      </c>
      <c r="B80" s="31" t="s">
        <v>335</v>
      </c>
      <c r="D80" s="31" t="s">
        <v>321</v>
      </c>
      <c r="E80" s="31" t="s">
        <v>1791</v>
      </c>
      <c r="F80" s="66">
        <v>1441</v>
      </c>
      <c r="G80" s="66">
        <v>1441</v>
      </c>
      <c r="H80" s="31">
        <v>333</v>
      </c>
      <c r="I80" s="31">
        <v>333</v>
      </c>
      <c r="J80" s="31" t="s">
        <v>336</v>
      </c>
      <c r="K80" s="31" t="s">
        <v>31</v>
      </c>
      <c r="N80" s="31" t="s">
        <v>31</v>
      </c>
      <c r="O80" s="31" t="s">
        <v>31</v>
      </c>
      <c r="P80" s="31" t="s">
        <v>32</v>
      </c>
      <c r="Q80" s="31" t="s">
        <v>39</v>
      </c>
      <c r="T80" s="32">
        <v>91.5</v>
      </c>
      <c r="U80" s="32">
        <v>27.1</v>
      </c>
      <c r="V80" s="32">
        <v>22.6</v>
      </c>
      <c r="W80" s="32">
        <v>20.9</v>
      </c>
      <c r="X80" s="32">
        <v>18.2</v>
      </c>
      <c r="Y80" s="32">
        <v>20.2</v>
      </c>
      <c r="Z80" s="32">
        <v>16.100000000000001</v>
      </c>
      <c r="AA80" s="32">
        <v>23.7</v>
      </c>
      <c r="AB80" s="33">
        <f t="shared" si="5"/>
        <v>3.7919999999999995E-2</v>
      </c>
      <c r="AC80" s="32">
        <v>73.900000000000006</v>
      </c>
      <c r="AD80" s="32">
        <v>83</v>
      </c>
      <c r="AE80" s="31" t="s">
        <v>337</v>
      </c>
    </row>
    <row r="81" spans="1:33" s="31" customFormat="1" x14ac:dyDescent="0.25">
      <c r="A81" s="36" t="s">
        <v>338</v>
      </c>
      <c r="B81" s="31" t="s">
        <v>339</v>
      </c>
      <c r="D81" s="31" t="s">
        <v>321</v>
      </c>
      <c r="E81" s="31" t="s">
        <v>1791</v>
      </c>
      <c r="F81" s="66">
        <v>1442</v>
      </c>
      <c r="G81" s="66">
        <v>1442</v>
      </c>
      <c r="H81" s="31">
        <v>292</v>
      </c>
      <c r="I81" s="31">
        <v>292</v>
      </c>
      <c r="J81" s="31" t="s">
        <v>340</v>
      </c>
      <c r="Q81" s="31" t="s">
        <v>39</v>
      </c>
      <c r="T81" s="32">
        <v>91.7</v>
      </c>
      <c r="U81" s="32">
        <v>28.4</v>
      </c>
      <c r="V81" s="32"/>
      <c r="W81" s="32">
        <v>21.7</v>
      </c>
      <c r="X81" s="32"/>
      <c r="Y81" s="32"/>
      <c r="Z81" s="32"/>
      <c r="AA81" s="32">
        <v>23.4</v>
      </c>
      <c r="AB81" s="33">
        <f t="shared" si="5"/>
        <v>3.7440000000000001E-2</v>
      </c>
      <c r="AC81" s="32"/>
      <c r="AD81" s="32"/>
      <c r="AE81" s="31" t="s">
        <v>341</v>
      </c>
      <c r="AG81" s="31" t="s">
        <v>342</v>
      </c>
    </row>
    <row r="82" spans="1:33" s="31" customFormat="1" x14ac:dyDescent="0.25">
      <c r="A82" s="36" t="s">
        <v>343</v>
      </c>
      <c r="B82" s="31" t="s">
        <v>344</v>
      </c>
      <c r="C82" s="31" t="s">
        <v>1794</v>
      </c>
      <c r="D82" s="31" t="s">
        <v>321</v>
      </c>
      <c r="E82" s="31" t="s">
        <v>1791</v>
      </c>
      <c r="F82" s="66">
        <v>1443</v>
      </c>
      <c r="G82" s="66">
        <v>1443</v>
      </c>
      <c r="H82" s="31">
        <v>270</v>
      </c>
      <c r="I82" s="31">
        <v>270</v>
      </c>
      <c r="J82" s="31" t="s">
        <v>345</v>
      </c>
      <c r="K82" s="31" t="s">
        <v>31</v>
      </c>
      <c r="L82" s="31" t="s">
        <v>31</v>
      </c>
      <c r="M82" s="31" t="s">
        <v>31</v>
      </c>
      <c r="N82" s="31" t="s">
        <v>31</v>
      </c>
      <c r="O82" s="31" t="s">
        <v>31</v>
      </c>
      <c r="P82" s="31" t="s">
        <v>32</v>
      </c>
      <c r="Q82" s="31" t="s">
        <v>39</v>
      </c>
      <c r="T82" s="32">
        <v>92.3</v>
      </c>
      <c r="U82" s="32">
        <v>28.8</v>
      </c>
      <c r="V82" s="32">
        <v>25</v>
      </c>
      <c r="W82" s="32">
        <v>23.5</v>
      </c>
      <c r="X82" s="32">
        <v>20.3</v>
      </c>
      <c r="Y82" s="32">
        <v>22.8</v>
      </c>
      <c r="Z82" s="32">
        <v>16.8</v>
      </c>
      <c r="AA82" s="32">
        <v>20.9</v>
      </c>
      <c r="AB82" s="33">
        <f t="shared" si="5"/>
        <v>3.3439999999999998E-2</v>
      </c>
      <c r="AC82" s="32">
        <v>74.599999999999994</v>
      </c>
      <c r="AD82" s="32">
        <v>73.3</v>
      </c>
      <c r="AE82" s="31" t="s">
        <v>346</v>
      </c>
    </row>
    <row r="83" spans="1:33" s="31" customFormat="1" x14ac:dyDescent="0.25">
      <c r="A83" s="36" t="s">
        <v>347</v>
      </c>
      <c r="B83" s="31" t="s">
        <v>348</v>
      </c>
      <c r="D83" s="31" t="s">
        <v>321</v>
      </c>
      <c r="E83" s="31" t="s">
        <v>1791</v>
      </c>
      <c r="F83" s="66">
        <v>1444</v>
      </c>
      <c r="G83" s="66">
        <v>1444</v>
      </c>
      <c r="H83" s="31">
        <v>289</v>
      </c>
      <c r="I83" s="31">
        <v>289</v>
      </c>
      <c r="J83" s="31" t="s">
        <v>349</v>
      </c>
      <c r="Q83" s="31" t="s">
        <v>39</v>
      </c>
      <c r="T83" s="32">
        <v>96.6</v>
      </c>
      <c r="U83" s="32">
        <v>29.1</v>
      </c>
      <c r="V83" s="32"/>
      <c r="W83" s="32"/>
      <c r="X83" s="32"/>
      <c r="Y83" s="32"/>
      <c r="Z83" s="32"/>
      <c r="AA83" s="32">
        <v>23.4</v>
      </c>
      <c r="AB83" s="33">
        <f t="shared" si="5"/>
        <v>3.7440000000000001E-2</v>
      </c>
      <c r="AC83" s="32"/>
      <c r="AD83" s="32"/>
      <c r="AE83" s="31" t="s">
        <v>350</v>
      </c>
    </row>
    <row r="84" spans="1:33" s="31" customFormat="1" x14ac:dyDescent="0.25">
      <c r="A84" s="36" t="s">
        <v>351</v>
      </c>
      <c r="B84" s="31" t="s">
        <v>352</v>
      </c>
      <c r="D84" s="31" t="s">
        <v>321</v>
      </c>
      <c r="E84" s="31" t="s">
        <v>1791</v>
      </c>
      <c r="F84" s="66">
        <v>1445</v>
      </c>
      <c r="G84" s="66">
        <v>1445</v>
      </c>
      <c r="H84" s="31">
        <v>267</v>
      </c>
      <c r="I84" s="31">
        <v>267</v>
      </c>
      <c r="J84" s="31" t="s">
        <v>353</v>
      </c>
      <c r="K84" s="31" t="s">
        <v>31</v>
      </c>
      <c r="L84" s="31" t="s">
        <v>31</v>
      </c>
      <c r="M84" s="31" t="s">
        <v>31</v>
      </c>
      <c r="N84" s="31" t="s">
        <v>31</v>
      </c>
      <c r="O84" s="31" t="s">
        <v>31</v>
      </c>
      <c r="P84" s="31" t="s">
        <v>32</v>
      </c>
      <c r="Q84" s="31" t="s">
        <v>39</v>
      </c>
      <c r="T84" s="32">
        <v>92.8</v>
      </c>
      <c r="U84" s="32">
        <v>28.7</v>
      </c>
      <c r="V84" s="46"/>
      <c r="W84" s="32">
        <v>20.2</v>
      </c>
      <c r="X84" s="32">
        <v>17.8</v>
      </c>
      <c r="Y84" s="32">
        <v>19.7</v>
      </c>
      <c r="Z84" s="32">
        <f>AVERAGE(18.5,19.7)</f>
        <v>19.100000000000001</v>
      </c>
      <c r="AA84" s="32">
        <v>16</v>
      </c>
      <c r="AB84" s="33">
        <f t="shared" si="5"/>
        <v>2.5600000000000001E-2</v>
      </c>
      <c r="AC84" s="32">
        <v>67.400000000000006</v>
      </c>
      <c r="AD84" s="32">
        <v>78.8</v>
      </c>
      <c r="AE84" s="31" t="s">
        <v>354</v>
      </c>
      <c r="AF84" s="31" t="s">
        <v>355</v>
      </c>
    </row>
    <row r="85" spans="1:33" s="31" customFormat="1" x14ac:dyDescent="0.25">
      <c r="A85" s="36" t="s">
        <v>356</v>
      </c>
      <c r="B85" s="31" t="s">
        <v>357</v>
      </c>
      <c r="D85" s="31" t="s">
        <v>321</v>
      </c>
      <c r="E85" s="31" t="s">
        <v>1791</v>
      </c>
      <c r="F85" s="66">
        <v>1446</v>
      </c>
      <c r="G85" s="66">
        <v>1446</v>
      </c>
      <c r="H85" s="31">
        <v>280</v>
      </c>
      <c r="I85" s="31">
        <v>280</v>
      </c>
      <c r="J85" s="31" t="s">
        <v>358</v>
      </c>
      <c r="K85" s="31" t="s">
        <v>31</v>
      </c>
      <c r="L85" s="31" t="s">
        <v>31</v>
      </c>
      <c r="N85" s="31" t="s">
        <v>31</v>
      </c>
      <c r="O85" s="31" t="s">
        <v>31</v>
      </c>
      <c r="P85" s="31" t="s">
        <v>359</v>
      </c>
      <c r="Q85" s="31" t="s">
        <v>39</v>
      </c>
      <c r="T85" s="32">
        <v>94.7</v>
      </c>
      <c r="U85" s="32">
        <v>26.1</v>
      </c>
      <c r="V85" s="32"/>
      <c r="W85" s="32">
        <v>10.8</v>
      </c>
      <c r="X85" s="32"/>
      <c r="Y85" s="32"/>
      <c r="Z85" s="32"/>
      <c r="AA85" s="32">
        <v>15.6</v>
      </c>
      <c r="AB85" s="33"/>
      <c r="AC85" s="32"/>
      <c r="AD85" s="32"/>
      <c r="AE85" s="31" t="s">
        <v>360</v>
      </c>
    </row>
    <row r="86" spans="1:33" s="31" customFormat="1" x14ac:dyDescent="0.25">
      <c r="A86" s="36" t="s">
        <v>361</v>
      </c>
      <c r="B86" s="31" t="s">
        <v>362</v>
      </c>
      <c r="D86" s="31" t="s">
        <v>321</v>
      </c>
      <c r="E86" s="31" t="s">
        <v>1791</v>
      </c>
      <c r="F86" s="66">
        <v>1447</v>
      </c>
      <c r="G86" s="66">
        <v>1447</v>
      </c>
      <c r="H86" s="31">
        <v>265</v>
      </c>
      <c r="I86" s="31">
        <v>265</v>
      </c>
      <c r="K86" s="31" t="s">
        <v>31</v>
      </c>
      <c r="L86" s="31" t="s">
        <v>31</v>
      </c>
      <c r="M86" s="31" t="s">
        <v>31</v>
      </c>
      <c r="N86" s="31" t="s">
        <v>31</v>
      </c>
      <c r="O86" s="31" t="s">
        <v>31</v>
      </c>
      <c r="P86" s="31" t="s">
        <v>32</v>
      </c>
      <c r="Q86" s="31" t="s">
        <v>39</v>
      </c>
      <c r="T86" s="32">
        <v>89.7</v>
      </c>
      <c r="U86" s="32">
        <v>20.3</v>
      </c>
      <c r="V86" s="31">
        <v>13.3</v>
      </c>
      <c r="W86" s="32">
        <v>11.95</v>
      </c>
      <c r="X86" s="32">
        <v>10.1</v>
      </c>
      <c r="Y86" s="32">
        <v>11.15</v>
      </c>
      <c r="Z86" s="32">
        <v>9.27</v>
      </c>
      <c r="AA86" s="32">
        <v>34.5</v>
      </c>
      <c r="AB86" s="33">
        <f>AA86/6.25/100</f>
        <v>5.5199999999999999E-2</v>
      </c>
      <c r="AC86" s="31">
        <v>76.099999999999994</v>
      </c>
      <c r="AD86" s="32">
        <v>53.35</v>
      </c>
      <c r="AE86" s="31" t="s">
        <v>363</v>
      </c>
      <c r="AG86" s="31" t="s">
        <v>364</v>
      </c>
    </row>
    <row r="87" spans="1:33" s="31" customFormat="1" x14ac:dyDescent="0.25">
      <c r="A87" s="36" t="s">
        <v>365</v>
      </c>
      <c r="B87" s="31" t="s">
        <v>366</v>
      </c>
      <c r="D87" s="31" t="s">
        <v>321</v>
      </c>
      <c r="E87" s="31" t="s">
        <v>1791</v>
      </c>
      <c r="F87" s="66">
        <v>1448</v>
      </c>
      <c r="G87" s="66">
        <v>1448</v>
      </c>
      <c r="H87" s="31">
        <v>296</v>
      </c>
      <c r="I87" s="31">
        <v>296</v>
      </c>
      <c r="J87" s="31" t="s">
        <v>367</v>
      </c>
      <c r="K87" s="31" t="s">
        <v>31</v>
      </c>
      <c r="L87" s="31" t="s">
        <v>31</v>
      </c>
      <c r="M87" s="31" t="s">
        <v>31</v>
      </c>
      <c r="N87" s="31" t="s">
        <v>31</v>
      </c>
      <c r="O87" s="31" t="s">
        <v>31</v>
      </c>
      <c r="P87" s="31" t="s">
        <v>32</v>
      </c>
      <c r="Q87" s="31" t="s">
        <v>39</v>
      </c>
      <c r="T87" s="32">
        <v>93.9</v>
      </c>
      <c r="U87" s="32">
        <v>26.8</v>
      </c>
      <c r="V87" s="32"/>
      <c r="W87" s="32">
        <v>19.399999999999999</v>
      </c>
      <c r="Y87" s="32">
        <v>18.600000000000001</v>
      </c>
      <c r="Z87" s="32"/>
      <c r="AA87" s="32">
        <v>24</v>
      </c>
      <c r="AB87" s="33">
        <f>AA87/6.25/100</f>
        <v>3.8399999999999997E-2</v>
      </c>
      <c r="AC87" s="32"/>
      <c r="AD87" s="32"/>
      <c r="AE87" s="31" t="s">
        <v>368</v>
      </c>
      <c r="AG87" s="31" t="s">
        <v>369</v>
      </c>
    </row>
    <row r="88" spans="1:33" s="31" customFormat="1" x14ac:dyDescent="0.25">
      <c r="A88" s="36" t="s">
        <v>370</v>
      </c>
      <c r="B88" s="31" t="s">
        <v>371</v>
      </c>
      <c r="D88" s="31" t="s">
        <v>321</v>
      </c>
      <c r="E88" s="31" t="s">
        <v>1791</v>
      </c>
      <c r="F88" s="66" t="s">
        <v>1624</v>
      </c>
      <c r="G88" s="66" t="s">
        <v>1624</v>
      </c>
      <c r="H88" s="31">
        <v>299</v>
      </c>
      <c r="I88" s="31">
        <v>299</v>
      </c>
      <c r="J88" s="31" t="s">
        <v>372</v>
      </c>
      <c r="K88" s="31" t="s">
        <v>31</v>
      </c>
      <c r="N88" s="31" t="s">
        <v>31</v>
      </c>
      <c r="T88" s="32">
        <v>95</v>
      </c>
      <c r="U88" s="32"/>
      <c r="V88" s="32"/>
      <c r="W88" s="32"/>
      <c r="X88" s="32"/>
      <c r="Y88" s="32"/>
      <c r="Z88" s="32"/>
      <c r="AA88" s="32">
        <v>16.399999999999999</v>
      </c>
      <c r="AB88" s="33"/>
      <c r="AC88" s="32"/>
      <c r="AD88" s="32"/>
      <c r="AE88" s="31" t="s">
        <v>373</v>
      </c>
      <c r="AF88" s="31" t="s">
        <v>124</v>
      </c>
    </row>
    <row r="89" spans="1:33" s="31" customFormat="1" x14ac:dyDescent="0.25">
      <c r="A89" s="36" t="s">
        <v>374</v>
      </c>
      <c r="B89" s="31" t="s">
        <v>375</v>
      </c>
      <c r="D89" s="31" t="s">
        <v>321</v>
      </c>
      <c r="E89" s="31" t="s">
        <v>1791</v>
      </c>
      <c r="F89" s="66" t="s">
        <v>1625</v>
      </c>
      <c r="G89" s="66" t="s">
        <v>1625</v>
      </c>
      <c r="H89" s="31">
        <v>336</v>
      </c>
      <c r="I89" s="31">
        <v>336</v>
      </c>
      <c r="K89" s="31" t="s">
        <v>31</v>
      </c>
      <c r="L89" s="31" t="s">
        <v>31</v>
      </c>
      <c r="O89" s="31" t="s">
        <v>31</v>
      </c>
      <c r="Q89" s="31" t="s">
        <v>39</v>
      </c>
      <c r="T89" s="32">
        <v>90.6</v>
      </c>
      <c r="U89" s="32">
        <v>26.2</v>
      </c>
      <c r="V89" s="32">
        <v>21.6</v>
      </c>
      <c r="W89" s="32">
        <v>16.8</v>
      </c>
      <c r="X89" s="32">
        <v>17.2</v>
      </c>
      <c r="Y89" s="32"/>
      <c r="Z89" s="32"/>
      <c r="AA89" s="32">
        <v>23.9</v>
      </c>
      <c r="AB89" s="33"/>
      <c r="AC89" s="32">
        <v>75.3</v>
      </c>
      <c r="AD89" s="32"/>
      <c r="AE89" s="31" t="s">
        <v>376</v>
      </c>
    </row>
    <row r="90" spans="1:33" s="31" customFormat="1" x14ac:dyDescent="0.25">
      <c r="A90" s="36" t="s">
        <v>377</v>
      </c>
      <c r="B90" s="31" t="s">
        <v>378</v>
      </c>
      <c r="D90" s="31" t="s">
        <v>321</v>
      </c>
      <c r="E90" s="31" t="s">
        <v>1791</v>
      </c>
      <c r="F90" s="66" t="s">
        <v>1626</v>
      </c>
      <c r="G90" s="66" t="s">
        <v>237</v>
      </c>
      <c r="H90" s="31">
        <v>339</v>
      </c>
      <c r="I90" s="31" t="s">
        <v>237</v>
      </c>
      <c r="J90" s="31" t="s">
        <v>379</v>
      </c>
      <c r="T90" s="64">
        <f t="shared" ref="T90:AD90" si="6">AVERAGE(T77:T89,T91:T95,T158,T192)</f>
        <v>90.035624999999996</v>
      </c>
      <c r="U90" s="45">
        <f t="shared" si="6"/>
        <v>26.376666666666669</v>
      </c>
      <c r="V90" s="45">
        <f t="shared" si="6"/>
        <v>20.303333333333335</v>
      </c>
      <c r="W90" s="45">
        <f t="shared" si="6"/>
        <v>18.121428571428574</v>
      </c>
      <c r="X90" s="45">
        <f t="shared" si="6"/>
        <v>16.36</v>
      </c>
      <c r="Y90" s="45">
        <f t="shared" si="6"/>
        <v>17.918749999999999</v>
      </c>
      <c r="Z90" s="45">
        <f t="shared" si="6"/>
        <v>14.728333333333332</v>
      </c>
      <c r="AA90" s="45">
        <f t="shared" si="6"/>
        <v>22.759374999999999</v>
      </c>
      <c r="AB90" s="41">
        <f t="shared" si="6"/>
        <v>3.8380000000000004E-2</v>
      </c>
      <c r="AC90" s="45">
        <f t="shared" si="6"/>
        <v>77.89</v>
      </c>
      <c r="AD90" s="45">
        <f t="shared" si="6"/>
        <v>74.964285714285708</v>
      </c>
      <c r="AE90" s="31" t="s">
        <v>380</v>
      </c>
    </row>
    <row r="91" spans="1:33" s="28" customFormat="1" x14ac:dyDescent="0.25">
      <c r="A91" s="61" t="s">
        <v>381</v>
      </c>
      <c r="B91" s="28" t="s">
        <v>382</v>
      </c>
      <c r="D91" s="28" t="s">
        <v>321</v>
      </c>
      <c r="E91" s="28" t="s">
        <v>1789</v>
      </c>
      <c r="F91" s="69">
        <v>1450</v>
      </c>
      <c r="G91" s="69"/>
      <c r="T91" s="29"/>
      <c r="V91" s="29"/>
      <c r="W91" s="29"/>
      <c r="X91" s="29"/>
      <c r="Y91" s="29"/>
      <c r="Z91" s="29"/>
      <c r="AA91" s="29"/>
      <c r="AB91" s="30"/>
      <c r="AC91" s="29"/>
      <c r="AD91" s="29"/>
    </row>
    <row r="92" spans="1:33" s="28" customFormat="1" x14ac:dyDescent="0.25">
      <c r="A92" s="61" t="s">
        <v>383</v>
      </c>
      <c r="B92" s="28" t="s">
        <v>384</v>
      </c>
      <c r="D92" s="28" t="s">
        <v>321</v>
      </c>
      <c r="E92" s="28" t="s">
        <v>1789</v>
      </c>
      <c r="F92" s="69">
        <v>1460</v>
      </c>
      <c r="G92" s="69"/>
      <c r="T92" s="29"/>
      <c r="AB92" s="30"/>
    </row>
    <row r="93" spans="1:33" s="28" customFormat="1" x14ac:dyDescent="0.25">
      <c r="A93" s="61" t="s">
        <v>385</v>
      </c>
      <c r="B93" s="28" t="s">
        <v>386</v>
      </c>
      <c r="D93" s="28" t="s">
        <v>321</v>
      </c>
      <c r="E93" s="28" t="s">
        <v>1789</v>
      </c>
      <c r="F93" s="69" t="s">
        <v>1627</v>
      </c>
      <c r="G93" s="69"/>
      <c r="T93" s="29"/>
      <c r="U93" s="29"/>
      <c r="V93" s="29"/>
      <c r="W93" s="29"/>
      <c r="X93" s="29"/>
      <c r="Y93" s="29"/>
      <c r="Z93" s="29"/>
      <c r="AA93" s="29"/>
      <c r="AB93" s="30"/>
      <c r="AC93" s="29"/>
      <c r="AD93" s="29"/>
    </row>
    <row r="94" spans="1:33" s="31" customFormat="1" x14ac:dyDescent="0.25">
      <c r="A94" s="36" t="s">
        <v>387</v>
      </c>
      <c r="B94" s="31" t="s">
        <v>388</v>
      </c>
      <c r="D94" s="31" t="s">
        <v>321</v>
      </c>
      <c r="E94" s="31" t="s">
        <v>1791</v>
      </c>
      <c r="F94" s="66" t="s">
        <v>1628</v>
      </c>
      <c r="G94" s="66" t="s">
        <v>1627</v>
      </c>
      <c r="H94" s="31">
        <v>256</v>
      </c>
      <c r="I94" s="31">
        <v>254</v>
      </c>
      <c r="J94" s="24" t="s">
        <v>389</v>
      </c>
      <c r="Q94" s="31" t="s">
        <v>39</v>
      </c>
      <c r="T94" s="32">
        <v>91.67</v>
      </c>
      <c r="U94" s="32">
        <v>19.45</v>
      </c>
      <c r="V94" s="32">
        <v>13.53</v>
      </c>
      <c r="W94" s="32">
        <v>10.15</v>
      </c>
      <c r="X94" s="32">
        <v>11.5</v>
      </c>
      <c r="Y94" s="32"/>
      <c r="Z94" s="32"/>
      <c r="AA94" s="32">
        <v>22.45</v>
      </c>
      <c r="AB94" s="33">
        <f t="shared" ref="AB94:AB99" si="7">AA94/6.25/100</f>
        <v>3.5920000000000001E-2</v>
      </c>
      <c r="AC94" s="32">
        <v>85</v>
      </c>
      <c r="AD94" s="32"/>
      <c r="AE94" s="31" t="s">
        <v>390</v>
      </c>
    </row>
    <row r="95" spans="1:33" s="31" customFormat="1" x14ac:dyDescent="0.25">
      <c r="A95" s="36" t="s">
        <v>391</v>
      </c>
      <c r="B95" s="31" t="s">
        <v>392</v>
      </c>
      <c r="D95" s="31" t="s">
        <v>321</v>
      </c>
      <c r="E95" s="31" t="s">
        <v>1791</v>
      </c>
      <c r="F95" s="66">
        <v>1492</v>
      </c>
      <c r="G95" s="66">
        <v>1460</v>
      </c>
      <c r="H95" s="31">
        <v>251</v>
      </c>
      <c r="I95" s="31">
        <v>249</v>
      </c>
      <c r="J95" s="31" t="s">
        <v>393</v>
      </c>
      <c r="Q95" s="31" t="s">
        <v>165</v>
      </c>
      <c r="T95" s="32">
        <v>50.7</v>
      </c>
      <c r="U95" s="32">
        <v>32.1</v>
      </c>
      <c r="V95" s="32"/>
      <c r="W95" s="32">
        <v>27</v>
      </c>
      <c r="X95" s="32"/>
      <c r="Y95" s="32"/>
      <c r="Z95" s="32"/>
      <c r="AA95" s="32">
        <v>8.6</v>
      </c>
      <c r="AB95" s="33">
        <f t="shared" si="7"/>
        <v>1.376E-2</v>
      </c>
      <c r="AC95" s="32"/>
      <c r="AD95" s="32">
        <v>83.8</v>
      </c>
      <c r="AE95" s="35" t="s">
        <v>394</v>
      </c>
    </row>
    <row r="96" spans="1:33" s="31" customFormat="1" x14ac:dyDescent="0.25">
      <c r="A96" s="36" t="s">
        <v>395</v>
      </c>
      <c r="B96" s="31" t="s">
        <v>396</v>
      </c>
      <c r="D96" s="31" t="s">
        <v>211</v>
      </c>
      <c r="E96" s="31" t="s">
        <v>1791</v>
      </c>
      <c r="F96" s="66">
        <v>1510</v>
      </c>
      <c r="G96" s="66">
        <v>1510</v>
      </c>
      <c r="H96" s="31">
        <v>116</v>
      </c>
      <c r="I96" s="31">
        <v>116</v>
      </c>
      <c r="J96" s="31" t="s">
        <v>397</v>
      </c>
      <c r="K96" s="31" t="s">
        <v>31</v>
      </c>
      <c r="N96" s="31" t="s">
        <v>31</v>
      </c>
      <c r="O96" s="31" t="s">
        <v>31</v>
      </c>
      <c r="P96" s="31" t="s">
        <v>32</v>
      </c>
      <c r="Q96" s="31" t="s">
        <v>39</v>
      </c>
      <c r="T96" s="32">
        <v>20.6</v>
      </c>
      <c r="U96" s="32">
        <v>16.8</v>
      </c>
      <c r="V96" s="32">
        <f>U96*0.89</f>
        <v>14.952000000000002</v>
      </c>
      <c r="W96" s="32">
        <v>15.4</v>
      </c>
      <c r="X96" s="32">
        <v>11.9</v>
      </c>
      <c r="Y96" s="32">
        <v>15.1</v>
      </c>
      <c r="Z96" s="32">
        <f>AVERAGE(14.9,14.8)</f>
        <v>14.850000000000001</v>
      </c>
      <c r="AA96" s="32">
        <v>10.8</v>
      </c>
      <c r="AB96" s="33">
        <f t="shared" si="7"/>
        <v>1.7280000000000004E-2</v>
      </c>
      <c r="AC96" s="32">
        <v>75</v>
      </c>
      <c r="AD96" s="32">
        <v>60</v>
      </c>
      <c r="AE96" s="31" t="s">
        <v>398</v>
      </c>
    </row>
    <row r="97" spans="1:32" s="31" customFormat="1" x14ac:dyDescent="0.25">
      <c r="A97" s="36" t="s">
        <v>399</v>
      </c>
      <c r="B97" s="31" t="s">
        <v>400</v>
      </c>
      <c r="C97" s="31" t="s">
        <v>401</v>
      </c>
      <c r="D97" s="31" t="s">
        <v>211</v>
      </c>
      <c r="E97" s="31" t="s">
        <v>1791</v>
      </c>
      <c r="F97" s="66" t="s">
        <v>1629</v>
      </c>
      <c r="G97" s="66" t="s">
        <v>1629</v>
      </c>
      <c r="H97" s="31">
        <v>125</v>
      </c>
      <c r="I97" s="31">
        <v>125</v>
      </c>
      <c r="J97" s="31" t="s">
        <v>402</v>
      </c>
      <c r="P97" s="31" t="s">
        <v>114</v>
      </c>
      <c r="Q97" s="31" t="s">
        <v>39</v>
      </c>
      <c r="T97" s="32">
        <v>37.6</v>
      </c>
      <c r="U97" s="32">
        <v>17.100000000000001</v>
      </c>
      <c r="V97" s="32">
        <v>14.5</v>
      </c>
      <c r="W97" s="32">
        <v>15.7</v>
      </c>
      <c r="X97" s="32">
        <v>12.4</v>
      </c>
      <c r="Y97" s="32">
        <v>15.4</v>
      </c>
      <c r="Z97" s="32">
        <v>15.2</v>
      </c>
      <c r="AA97" s="32">
        <v>2.6</v>
      </c>
      <c r="AB97" s="33">
        <f t="shared" si="7"/>
        <v>4.1600000000000005E-3</v>
      </c>
      <c r="AC97" s="32">
        <v>31.4</v>
      </c>
      <c r="AD97" s="32"/>
      <c r="AE97" s="31" t="s">
        <v>403</v>
      </c>
    </row>
    <row r="98" spans="1:32" s="31" customFormat="1" x14ac:dyDescent="0.25">
      <c r="A98" s="36" t="s">
        <v>404</v>
      </c>
      <c r="B98" s="31" t="s">
        <v>405</v>
      </c>
      <c r="C98" s="31" t="s">
        <v>401</v>
      </c>
      <c r="D98" s="31" t="s">
        <v>211</v>
      </c>
      <c r="E98" s="31" t="s">
        <v>1791</v>
      </c>
      <c r="F98" s="66" t="s">
        <v>1630</v>
      </c>
      <c r="G98" s="66" t="s">
        <v>1629</v>
      </c>
      <c r="H98" s="31">
        <v>128</v>
      </c>
      <c r="I98" s="31">
        <v>125</v>
      </c>
      <c r="J98" s="31" t="s">
        <v>406</v>
      </c>
      <c r="T98" s="32">
        <v>87.6</v>
      </c>
      <c r="U98" s="31">
        <v>16.8</v>
      </c>
      <c r="V98" s="32">
        <v>14.2</v>
      </c>
      <c r="W98" s="32">
        <v>15.3</v>
      </c>
      <c r="X98" s="32">
        <v>12.2</v>
      </c>
      <c r="Y98" s="32">
        <v>15</v>
      </c>
      <c r="Z98" s="32">
        <v>15.1</v>
      </c>
      <c r="AA98" s="32">
        <v>2.9</v>
      </c>
      <c r="AB98" s="33">
        <f t="shared" si="7"/>
        <v>4.64E-3</v>
      </c>
      <c r="AC98" s="32">
        <v>35.299999999999997</v>
      </c>
      <c r="AD98" s="32">
        <v>52.3</v>
      </c>
      <c r="AE98" s="31" t="s">
        <v>407</v>
      </c>
    </row>
    <row r="99" spans="1:32" s="31" customFormat="1" x14ac:dyDescent="0.25">
      <c r="A99" s="36" t="s">
        <v>408</v>
      </c>
      <c r="B99" s="31" t="s">
        <v>409</v>
      </c>
      <c r="D99" s="31" t="s">
        <v>211</v>
      </c>
      <c r="E99" s="31" t="s">
        <v>1791</v>
      </c>
      <c r="F99" s="66">
        <v>1530</v>
      </c>
      <c r="G99" s="66">
        <v>1530</v>
      </c>
      <c r="H99" s="31">
        <v>122</v>
      </c>
      <c r="I99" s="31">
        <v>122</v>
      </c>
      <c r="J99" s="31" t="s">
        <v>410</v>
      </c>
      <c r="K99" s="31" t="s">
        <v>31</v>
      </c>
      <c r="L99" s="31" t="s">
        <v>31</v>
      </c>
      <c r="N99" s="31" t="s">
        <v>31</v>
      </c>
      <c r="O99" s="31" t="s">
        <v>31</v>
      </c>
      <c r="P99" s="31" t="s">
        <v>32</v>
      </c>
      <c r="Q99" s="31" t="s">
        <v>39</v>
      </c>
      <c r="T99" s="32">
        <v>30</v>
      </c>
      <c r="U99" s="32">
        <v>17.399999999999999</v>
      </c>
      <c r="V99" s="32">
        <v>14.1</v>
      </c>
      <c r="W99" s="32">
        <v>14.6</v>
      </c>
      <c r="X99" s="32">
        <v>12</v>
      </c>
      <c r="Y99" s="32">
        <v>14.3</v>
      </c>
      <c r="Z99" s="32"/>
      <c r="AA99" s="32">
        <v>5.5</v>
      </c>
      <c r="AB99" s="33">
        <f t="shared" si="7"/>
        <v>8.8000000000000005E-3</v>
      </c>
      <c r="AC99" s="32">
        <v>37.5</v>
      </c>
      <c r="AD99" s="32">
        <v>44.7</v>
      </c>
      <c r="AE99" s="31" t="s">
        <v>411</v>
      </c>
    </row>
    <row r="100" spans="1:32" s="31" customFormat="1" x14ac:dyDescent="0.25">
      <c r="A100" s="36" t="s">
        <v>412</v>
      </c>
      <c r="B100" s="31" t="s">
        <v>413</v>
      </c>
      <c r="D100" s="31" t="s">
        <v>211</v>
      </c>
      <c r="E100" s="31" t="s">
        <v>1791</v>
      </c>
      <c r="F100" s="66">
        <v>1540</v>
      </c>
      <c r="G100" s="66">
        <v>1540</v>
      </c>
      <c r="H100" s="31">
        <v>137</v>
      </c>
      <c r="I100" s="31">
        <v>137</v>
      </c>
      <c r="J100" s="31" t="s">
        <v>414</v>
      </c>
      <c r="N100" s="31" t="s">
        <v>31</v>
      </c>
      <c r="P100" s="31" t="s">
        <v>415</v>
      </c>
      <c r="Q100" s="31" t="s">
        <v>39</v>
      </c>
      <c r="T100" s="32">
        <v>22.8</v>
      </c>
      <c r="U100" s="32">
        <v>17.22</v>
      </c>
      <c r="V100" s="32"/>
      <c r="W100" s="32">
        <v>14.8</v>
      </c>
      <c r="X100" s="32"/>
      <c r="Y100" s="32"/>
      <c r="Z100" s="32"/>
      <c r="AA100" s="32">
        <v>7.42</v>
      </c>
      <c r="AB100" s="33"/>
      <c r="AC100" s="32"/>
      <c r="AD100" s="32"/>
      <c r="AE100" s="31" t="s">
        <v>416</v>
      </c>
    </row>
    <row r="101" spans="1:32" s="31" customFormat="1" x14ac:dyDescent="0.25">
      <c r="A101" s="36" t="s">
        <v>417</v>
      </c>
      <c r="B101" s="31" t="s">
        <v>418</v>
      </c>
      <c r="D101" s="31" t="s">
        <v>211</v>
      </c>
      <c r="E101" s="31" t="s">
        <v>1791</v>
      </c>
      <c r="F101" s="66">
        <v>1550</v>
      </c>
      <c r="G101" s="66">
        <v>1550</v>
      </c>
      <c r="H101" s="31">
        <v>136</v>
      </c>
      <c r="I101" s="31">
        <v>136</v>
      </c>
      <c r="J101" s="24" t="s">
        <v>419</v>
      </c>
      <c r="K101" s="31" t="s">
        <v>31</v>
      </c>
      <c r="L101" s="31" t="s">
        <v>31</v>
      </c>
      <c r="N101" s="31" t="s">
        <v>31</v>
      </c>
      <c r="O101" s="31" t="s">
        <v>31</v>
      </c>
      <c r="Q101" s="31" t="s">
        <v>39</v>
      </c>
      <c r="T101" s="32">
        <v>50</v>
      </c>
      <c r="U101" s="32">
        <v>17.23</v>
      </c>
      <c r="V101" s="32">
        <v>14.1</v>
      </c>
      <c r="W101" s="31">
        <v>14.8</v>
      </c>
      <c r="X101" s="32">
        <v>11.8</v>
      </c>
      <c r="Y101" s="32">
        <v>14.5</v>
      </c>
      <c r="Z101" s="32">
        <v>11.25</v>
      </c>
      <c r="AA101" s="32">
        <v>6.8</v>
      </c>
      <c r="AB101" s="33">
        <f>AA101/6.25/100</f>
        <v>1.0880000000000001E-2</v>
      </c>
      <c r="AC101" s="32">
        <v>62.7</v>
      </c>
      <c r="AD101" s="32"/>
      <c r="AE101" s="31" t="s">
        <v>420</v>
      </c>
    </row>
    <row r="102" spans="1:32" s="31" customFormat="1" x14ac:dyDescent="0.25">
      <c r="A102" s="36" t="s">
        <v>421</v>
      </c>
      <c r="B102" s="31" t="s">
        <v>422</v>
      </c>
      <c r="D102" s="31" t="s">
        <v>211</v>
      </c>
      <c r="E102" s="31" t="s">
        <v>1791</v>
      </c>
      <c r="F102" s="66">
        <v>1591</v>
      </c>
      <c r="G102" s="66">
        <v>1591</v>
      </c>
      <c r="H102" s="31">
        <v>135</v>
      </c>
      <c r="I102" s="31">
        <v>135</v>
      </c>
      <c r="J102" s="31" t="s">
        <v>423</v>
      </c>
      <c r="K102" s="31" t="s">
        <v>31</v>
      </c>
      <c r="L102" s="31" t="s">
        <v>31</v>
      </c>
      <c r="M102" s="31" t="s">
        <v>31</v>
      </c>
      <c r="N102" s="31" t="s">
        <v>31</v>
      </c>
      <c r="P102" s="31" t="s">
        <v>32</v>
      </c>
      <c r="Q102" s="31" t="s">
        <v>39</v>
      </c>
      <c r="T102" s="32">
        <v>28.2</v>
      </c>
      <c r="U102" s="32">
        <v>16.190000000000001</v>
      </c>
      <c r="V102" s="32"/>
      <c r="W102" s="32">
        <v>14.8</v>
      </c>
      <c r="X102" s="32"/>
      <c r="Y102" s="32"/>
      <c r="Z102" s="32"/>
      <c r="AA102" s="32">
        <v>6.96</v>
      </c>
      <c r="AB102" s="33">
        <f>AA102/6.25/100</f>
        <v>1.1136E-2</v>
      </c>
      <c r="AC102" s="32"/>
      <c r="AD102" s="32"/>
      <c r="AE102" s="31" t="s">
        <v>424</v>
      </c>
    </row>
    <row r="103" spans="1:32" s="28" customFormat="1" x14ac:dyDescent="0.25">
      <c r="A103" s="61" t="s">
        <v>425</v>
      </c>
      <c r="B103" s="28" t="s">
        <v>426</v>
      </c>
      <c r="D103" s="28" t="s">
        <v>211</v>
      </c>
      <c r="E103" s="28" t="s">
        <v>1789</v>
      </c>
      <c r="F103" s="69" t="s">
        <v>1631</v>
      </c>
      <c r="G103" s="69"/>
      <c r="T103" s="29"/>
      <c r="U103" s="29"/>
      <c r="V103" s="29"/>
      <c r="W103" s="29"/>
      <c r="X103" s="29"/>
      <c r="Y103" s="29"/>
      <c r="Z103" s="29"/>
      <c r="AA103" s="29"/>
      <c r="AB103" s="30"/>
      <c r="AC103" s="29"/>
      <c r="AD103" s="29"/>
    </row>
    <row r="104" spans="1:32" s="28" customFormat="1" x14ac:dyDescent="0.25">
      <c r="A104" s="61" t="s">
        <v>427</v>
      </c>
      <c r="B104" s="28" t="s">
        <v>428</v>
      </c>
      <c r="D104" s="28" t="s">
        <v>211</v>
      </c>
      <c r="E104" s="28" t="s">
        <v>1789</v>
      </c>
      <c r="F104" s="69" t="s">
        <v>1632</v>
      </c>
      <c r="G104" s="69"/>
      <c r="T104" s="29"/>
      <c r="U104" s="29"/>
      <c r="V104" s="29"/>
      <c r="W104" s="29"/>
      <c r="X104" s="29"/>
      <c r="Y104" s="29"/>
      <c r="Z104" s="29"/>
      <c r="AA104" s="29"/>
      <c r="AB104" s="30"/>
      <c r="AC104" s="29"/>
      <c r="AD104" s="29"/>
    </row>
    <row r="105" spans="1:32" s="31" customFormat="1" x14ac:dyDescent="0.25">
      <c r="A105" s="36" t="s">
        <v>429</v>
      </c>
      <c r="B105" s="31" t="s">
        <v>430</v>
      </c>
      <c r="D105" s="31" t="s">
        <v>152</v>
      </c>
      <c r="E105" s="31" t="s">
        <v>1791</v>
      </c>
      <c r="F105" s="66">
        <v>1610</v>
      </c>
      <c r="G105" s="66">
        <v>1610</v>
      </c>
      <c r="H105" s="31">
        <v>656</v>
      </c>
      <c r="I105" s="31">
        <v>656</v>
      </c>
      <c r="J105" s="31" t="s">
        <v>431</v>
      </c>
      <c r="Q105" s="31" t="s">
        <v>39</v>
      </c>
      <c r="T105" s="32">
        <v>88.5</v>
      </c>
      <c r="U105" s="32">
        <v>19.5</v>
      </c>
      <c r="V105" s="32"/>
      <c r="W105" s="32">
        <v>6.5</v>
      </c>
      <c r="X105" s="32"/>
      <c r="Y105" s="32"/>
      <c r="Z105" s="32"/>
      <c r="AA105" s="32">
        <v>9.4</v>
      </c>
      <c r="AB105" s="33"/>
      <c r="AC105" s="32"/>
      <c r="AD105" s="32">
        <v>16.3</v>
      </c>
      <c r="AE105" s="31" t="s">
        <v>432</v>
      </c>
    </row>
    <row r="106" spans="1:32" s="28" customFormat="1" x14ac:dyDescent="0.25">
      <c r="A106" s="61" t="s">
        <v>433</v>
      </c>
      <c r="B106" s="28" t="s">
        <v>434</v>
      </c>
      <c r="C106" s="28" t="s">
        <v>435</v>
      </c>
      <c r="D106" s="28" t="s">
        <v>29</v>
      </c>
      <c r="E106" s="28" t="s">
        <v>1789</v>
      </c>
      <c r="F106" s="69">
        <v>1630</v>
      </c>
      <c r="G106" s="69"/>
      <c r="T106" s="29"/>
      <c r="U106" s="29"/>
      <c r="V106" s="29"/>
      <c r="W106" s="29"/>
      <c r="X106" s="29"/>
      <c r="Y106" s="29"/>
      <c r="Z106" s="29"/>
      <c r="AA106" s="29"/>
      <c r="AB106" s="30"/>
      <c r="AC106" s="29"/>
      <c r="AD106" s="29"/>
    </row>
    <row r="107" spans="1:32" s="28" customFormat="1" x14ac:dyDescent="0.25">
      <c r="A107" s="61" t="s">
        <v>436</v>
      </c>
      <c r="B107" s="28" t="s">
        <v>437</v>
      </c>
      <c r="D107" s="28" t="s">
        <v>152</v>
      </c>
      <c r="E107" s="28" t="s">
        <v>1789</v>
      </c>
      <c r="F107" s="69">
        <v>1656</v>
      </c>
      <c r="G107" s="69"/>
      <c r="T107" s="29"/>
      <c r="U107" s="29"/>
      <c r="V107" s="29"/>
      <c r="W107" s="29"/>
      <c r="X107" s="29"/>
      <c r="Y107" s="29"/>
      <c r="Z107" s="29"/>
      <c r="AA107" s="29"/>
      <c r="AB107" s="30"/>
      <c r="AC107" s="29"/>
      <c r="AD107" s="29"/>
    </row>
    <row r="108" spans="1:32" s="28" customFormat="1" x14ac:dyDescent="0.25">
      <c r="A108" s="61" t="s">
        <v>438</v>
      </c>
      <c r="B108" s="28" t="s">
        <v>439</v>
      </c>
      <c r="D108" s="28" t="s">
        <v>152</v>
      </c>
      <c r="E108" s="28" t="s">
        <v>1789</v>
      </c>
      <c r="F108" s="69">
        <v>1659</v>
      </c>
      <c r="G108" s="69"/>
      <c r="T108" s="29"/>
      <c r="U108" s="29"/>
      <c r="V108" s="29"/>
      <c r="W108" s="29"/>
      <c r="X108" s="29"/>
      <c r="Y108" s="29"/>
      <c r="Z108" s="29"/>
      <c r="AA108" s="29"/>
      <c r="AB108" s="30"/>
      <c r="AC108" s="29"/>
      <c r="AD108" s="29"/>
    </row>
    <row r="109" spans="1:32" s="28" customFormat="1" x14ac:dyDescent="0.25">
      <c r="A109" s="61" t="s">
        <v>440</v>
      </c>
      <c r="B109" s="28" t="s">
        <v>441</v>
      </c>
      <c r="D109" s="28" t="s">
        <v>211</v>
      </c>
      <c r="E109" s="28" t="s">
        <v>1789</v>
      </c>
      <c r="F109" s="69">
        <v>1691</v>
      </c>
      <c r="G109" s="69"/>
      <c r="T109" s="29"/>
      <c r="U109" s="29"/>
      <c r="V109" s="29"/>
      <c r="W109" s="29"/>
      <c r="X109" s="29"/>
      <c r="Y109" s="29"/>
      <c r="Z109" s="29"/>
      <c r="AA109" s="29"/>
      <c r="AB109" s="30"/>
      <c r="AC109" s="29"/>
      <c r="AD109" s="29"/>
    </row>
    <row r="110" spans="1:32" s="31" customFormat="1" x14ac:dyDescent="0.25">
      <c r="A110" s="36" t="s">
        <v>442</v>
      </c>
      <c r="B110" s="36" t="s">
        <v>443</v>
      </c>
      <c r="C110" s="31" t="s">
        <v>444</v>
      </c>
      <c r="D110" s="31" t="s">
        <v>1608</v>
      </c>
      <c r="E110" s="31" t="s">
        <v>1791</v>
      </c>
      <c r="F110" s="66"/>
      <c r="G110" s="66">
        <v>1701</v>
      </c>
      <c r="I110" s="31">
        <v>176</v>
      </c>
      <c r="J110" s="31" t="s">
        <v>445</v>
      </c>
      <c r="K110" s="31" t="s">
        <v>31</v>
      </c>
      <c r="L110" s="31" t="s">
        <v>31</v>
      </c>
      <c r="M110" s="31" t="s">
        <v>31</v>
      </c>
      <c r="N110" s="31" t="s">
        <v>31</v>
      </c>
      <c r="O110" s="31" t="s">
        <v>31</v>
      </c>
      <c r="P110" s="31" t="s">
        <v>114</v>
      </c>
      <c r="Q110" s="31" t="s">
        <v>39</v>
      </c>
      <c r="R110" s="31">
        <v>1.1299999999999999</v>
      </c>
      <c r="S110" s="31">
        <v>0.85</v>
      </c>
      <c r="T110" s="32">
        <v>88</v>
      </c>
      <c r="U110" s="32">
        <v>17.899999999999899</v>
      </c>
      <c r="V110" s="32">
        <v>9.1999999999999904</v>
      </c>
      <c r="W110" s="32"/>
      <c r="X110" s="32">
        <v>7.4</v>
      </c>
      <c r="Y110" s="32"/>
      <c r="Z110" s="32"/>
      <c r="AA110" s="32">
        <v>7.1</v>
      </c>
      <c r="AB110" s="33">
        <v>1.13599999999999E-2</v>
      </c>
      <c r="AC110" s="32">
        <v>38.799999999999997</v>
      </c>
      <c r="AD110" s="32"/>
      <c r="AE110" s="34" t="s">
        <v>446</v>
      </c>
    </row>
    <row r="111" spans="1:32" s="31" customFormat="1" x14ac:dyDescent="0.25">
      <c r="A111" s="36" t="s">
        <v>447</v>
      </c>
      <c r="B111" s="36" t="s">
        <v>448</v>
      </c>
      <c r="C111" s="31" t="s">
        <v>204</v>
      </c>
      <c r="D111" s="31" t="s">
        <v>201</v>
      </c>
      <c r="E111" s="31" t="s">
        <v>1791</v>
      </c>
      <c r="F111" s="66">
        <v>1701</v>
      </c>
      <c r="G111" s="66">
        <v>1701</v>
      </c>
      <c r="H111" s="31">
        <v>176</v>
      </c>
      <c r="I111" s="31">
        <v>176</v>
      </c>
      <c r="J111" s="31" t="s">
        <v>449</v>
      </c>
      <c r="K111" s="31" t="s">
        <v>31</v>
      </c>
      <c r="L111" s="31" t="s">
        <v>31</v>
      </c>
      <c r="M111" s="31" t="s">
        <v>31</v>
      </c>
      <c r="N111" s="31" t="s">
        <v>31</v>
      </c>
      <c r="O111" s="31" t="s">
        <v>31</v>
      </c>
      <c r="P111" s="31" t="s">
        <v>114</v>
      </c>
      <c r="Q111" s="31" t="s">
        <v>39</v>
      </c>
      <c r="T111" s="32">
        <v>89.1</v>
      </c>
      <c r="U111" s="32">
        <v>18.600000000000001</v>
      </c>
      <c r="V111" s="32">
        <v>16.8</v>
      </c>
      <c r="W111" s="32">
        <v>16.3</v>
      </c>
      <c r="X111" s="32">
        <v>13.6</v>
      </c>
      <c r="Y111" s="32">
        <v>15.3</v>
      </c>
      <c r="Z111" s="32">
        <v>12.15</v>
      </c>
      <c r="AA111" s="32">
        <v>24.8</v>
      </c>
      <c r="AB111" s="33">
        <v>3.968E-2</v>
      </c>
      <c r="AC111" s="32">
        <v>87.2</v>
      </c>
      <c r="AD111" s="32">
        <v>93.4</v>
      </c>
      <c r="AE111" s="34" t="s">
        <v>450</v>
      </c>
      <c r="AF111" s="34" t="s">
        <v>451</v>
      </c>
    </row>
    <row r="112" spans="1:32" s="31" customFormat="1" x14ac:dyDescent="0.25">
      <c r="A112" s="36" t="s">
        <v>452</v>
      </c>
      <c r="B112" s="36" t="s">
        <v>453</v>
      </c>
      <c r="C112" s="31" t="s">
        <v>444</v>
      </c>
      <c r="D112" s="31" t="s">
        <v>1608</v>
      </c>
      <c r="E112" s="31" t="s">
        <v>1791</v>
      </c>
      <c r="F112" s="66"/>
      <c r="G112" s="66">
        <v>1702</v>
      </c>
      <c r="I112" s="31">
        <v>181</v>
      </c>
      <c r="J112" s="31" t="s">
        <v>454</v>
      </c>
      <c r="P112" s="31" t="s">
        <v>114</v>
      </c>
      <c r="Q112" s="31" t="s">
        <v>39</v>
      </c>
      <c r="R112" s="31">
        <v>1.1299999999999999</v>
      </c>
      <c r="S112" s="31">
        <v>0.85</v>
      </c>
      <c r="T112" s="32">
        <v>89.7</v>
      </c>
      <c r="U112" s="32">
        <v>18.100000000000001</v>
      </c>
      <c r="V112" s="32">
        <v>7.9</v>
      </c>
      <c r="W112" s="32"/>
      <c r="X112" s="32">
        <v>6.4</v>
      </c>
      <c r="Y112" s="32"/>
      <c r="Z112" s="32"/>
      <c r="AA112" s="32">
        <v>7.4</v>
      </c>
      <c r="AB112" s="33">
        <v>1.184E-2</v>
      </c>
      <c r="AC112" s="32">
        <v>38.299999999999997</v>
      </c>
      <c r="AD112" s="32"/>
      <c r="AE112" s="34" t="s">
        <v>455</v>
      </c>
    </row>
    <row r="113" spans="1:32" s="31" customFormat="1" x14ac:dyDescent="0.25">
      <c r="A113" s="36" t="s">
        <v>456</v>
      </c>
      <c r="B113" s="36" t="s">
        <v>457</v>
      </c>
      <c r="C113" s="31" t="s">
        <v>204</v>
      </c>
      <c r="D113" s="31" t="s">
        <v>201</v>
      </c>
      <c r="E113" s="31" t="s">
        <v>1791</v>
      </c>
      <c r="F113" s="66">
        <v>1702</v>
      </c>
      <c r="G113" s="66">
        <v>1702</v>
      </c>
      <c r="H113" s="31">
        <v>181</v>
      </c>
      <c r="I113" s="31">
        <v>181</v>
      </c>
      <c r="J113" s="31" t="s">
        <v>458</v>
      </c>
      <c r="P113" s="31" t="s">
        <v>114</v>
      </c>
      <c r="Q113" s="31" t="s">
        <v>39</v>
      </c>
      <c r="T113" s="32">
        <v>85.9</v>
      </c>
      <c r="U113" s="32">
        <v>18.7</v>
      </c>
      <c r="V113" s="32">
        <v>16.8</v>
      </c>
      <c r="W113" s="32">
        <v>15.5</v>
      </c>
      <c r="X113" s="32">
        <v>13.3</v>
      </c>
      <c r="Y113" s="32">
        <v>14.7</v>
      </c>
      <c r="Z113" s="32">
        <v>12.2</v>
      </c>
      <c r="AA113" s="32">
        <v>29</v>
      </c>
      <c r="AB113" s="33">
        <v>4.63999999999999E-2</v>
      </c>
      <c r="AC113" s="32">
        <v>79.2</v>
      </c>
      <c r="AD113" s="32">
        <v>83.1</v>
      </c>
      <c r="AE113" s="34" t="s">
        <v>459</v>
      </c>
    </row>
    <row r="114" spans="1:32" s="31" customFormat="1" x14ac:dyDescent="0.25">
      <c r="A114" s="36" t="s">
        <v>460</v>
      </c>
      <c r="B114" s="36" t="s">
        <v>461</v>
      </c>
      <c r="C114" s="31" t="s">
        <v>444</v>
      </c>
      <c r="D114" s="31" t="s">
        <v>1608</v>
      </c>
      <c r="E114" s="31" t="s">
        <v>1791</v>
      </c>
      <c r="F114" s="66"/>
      <c r="G114" s="66">
        <v>1703</v>
      </c>
      <c r="I114" s="31">
        <v>191</v>
      </c>
      <c r="J114" s="31" t="s">
        <v>462</v>
      </c>
      <c r="K114" s="31" t="s">
        <v>31</v>
      </c>
      <c r="N114" s="31" t="s">
        <v>31</v>
      </c>
      <c r="O114" s="31" t="s">
        <v>31</v>
      </c>
      <c r="P114" s="31" t="s">
        <v>114</v>
      </c>
      <c r="Q114" s="31" t="s">
        <v>39</v>
      </c>
      <c r="R114" s="31">
        <v>1.1299999999999999</v>
      </c>
      <c r="S114" s="31">
        <v>0.85</v>
      </c>
      <c r="T114" s="32">
        <v>90.4</v>
      </c>
      <c r="U114" s="32">
        <v>18.100000000000001</v>
      </c>
      <c r="V114" s="32">
        <v>7.5</v>
      </c>
      <c r="W114" s="32"/>
      <c r="X114" s="32">
        <v>6.1</v>
      </c>
      <c r="Y114" s="32"/>
      <c r="Z114" s="32"/>
      <c r="AA114" s="32">
        <v>5.4</v>
      </c>
      <c r="AB114" s="33">
        <v>8.6400000000000001E-3</v>
      </c>
      <c r="AC114" s="32">
        <v>47.3</v>
      </c>
      <c r="AD114" s="32"/>
      <c r="AE114" s="34" t="s">
        <v>463</v>
      </c>
    </row>
    <row r="115" spans="1:32" s="31" customFormat="1" x14ac:dyDescent="0.25">
      <c r="A115" s="36" t="s">
        <v>464</v>
      </c>
      <c r="B115" s="36" t="s">
        <v>465</v>
      </c>
      <c r="C115" s="31" t="s">
        <v>204</v>
      </c>
      <c r="D115" s="31" t="s">
        <v>201</v>
      </c>
      <c r="E115" s="31" t="s">
        <v>1791</v>
      </c>
      <c r="F115" s="66">
        <v>1703</v>
      </c>
      <c r="G115" s="66">
        <v>1703</v>
      </c>
      <c r="H115" s="31">
        <v>191</v>
      </c>
      <c r="I115" s="31">
        <v>191</v>
      </c>
      <c r="J115" s="31" t="s">
        <v>466</v>
      </c>
      <c r="K115" s="31" t="s">
        <v>31</v>
      </c>
      <c r="N115" s="31" t="s">
        <v>31</v>
      </c>
      <c r="O115" s="31" t="s">
        <v>31</v>
      </c>
      <c r="P115" s="31" t="s">
        <v>114</v>
      </c>
      <c r="Q115" s="31" t="s">
        <v>39</v>
      </c>
      <c r="T115" s="32">
        <v>89</v>
      </c>
      <c r="U115" s="32">
        <v>19.600000000000001</v>
      </c>
      <c r="V115" s="32">
        <v>17.049999999999901</v>
      </c>
      <c r="W115" s="32">
        <v>15.5</v>
      </c>
      <c r="X115" s="32">
        <v>13.85</v>
      </c>
      <c r="Y115" s="32">
        <v>14.85</v>
      </c>
      <c r="Z115" s="32">
        <v>12.7</v>
      </c>
      <c r="AA115" s="32">
        <v>22.2</v>
      </c>
      <c r="AB115" s="33">
        <v>3.5520000000000003E-2</v>
      </c>
      <c r="AC115" s="32">
        <v>79</v>
      </c>
      <c r="AD115" s="32">
        <v>82.3</v>
      </c>
      <c r="AE115" s="34" t="s">
        <v>467</v>
      </c>
    </row>
    <row r="116" spans="1:32" s="31" customFormat="1" x14ac:dyDescent="0.25">
      <c r="A116" s="36" t="s">
        <v>468</v>
      </c>
      <c r="B116" s="36" t="s">
        <v>469</v>
      </c>
      <c r="C116" s="31" t="s">
        <v>444</v>
      </c>
      <c r="D116" s="31" t="s">
        <v>1608</v>
      </c>
      <c r="E116" s="31" t="s">
        <v>1791</v>
      </c>
      <c r="F116" s="66"/>
      <c r="G116" s="66">
        <v>1704</v>
      </c>
      <c r="I116" s="31">
        <v>201</v>
      </c>
      <c r="J116" s="31" t="s">
        <v>470</v>
      </c>
      <c r="K116" s="31" t="s">
        <v>31</v>
      </c>
      <c r="N116" s="31" t="s">
        <v>31</v>
      </c>
      <c r="O116" s="31" t="s">
        <v>31</v>
      </c>
      <c r="P116" s="31" t="s">
        <v>114</v>
      </c>
      <c r="Q116" s="31" t="s">
        <v>39</v>
      </c>
      <c r="R116" s="31">
        <v>1.1299999999999999</v>
      </c>
      <c r="S116" s="31">
        <v>0.85</v>
      </c>
      <c r="T116" s="32">
        <v>92.1</v>
      </c>
      <c r="U116" s="32">
        <v>17.899999999999899</v>
      </c>
      <c r="V116" s="32">
        <v>9.1999999999999904</v>
      </c>
      <c r="W116" s="32"/>
      <c r="X116" s="32">
        <v>7.5</v>
      </c>
      <c r="Y116" s="32"/>
      <c r="Z116" s="32"/>
      <c r="AA116" s="32">
        <v>7</v>
      </c>
      <c r="AB116" s="33">
        <v>1.12E-2</v>
      </c>
      <c r="AC116" s="32">
        <v>40.4</v>
      </c>
      <c r="AD116" s="32"/>
      <c r="AE116" s="34" t="s">
        <v>471</v>
      </c>
    </row>
    <row r="117" spans="1:32" s="31" customFormat="1" x14ac:dyDescent="0.25">
      <c r="A117" s="36" t="s">
        <v>472</v>
      </c>
      <c r="B117" s="36" t="s">
        <v>473</v>
      </c>
      <c r="C117" s="31" t="s">
        <v>204</v>
      </c>
      <c r="D117" s="31" t="s">
        <v>201</v>
      </c>
      <c r="E117" s="31" t="s">
        <v>1791</v>
      </c>
      <c r="F117" s="66">
        <v>1704</v>
      </c>
      <c r="G117" s="66">
        <v>1704</v>
      </c>
      <c r="H117" s="31">
        <v>201</v>
      </c>
      <c r="I117" s="31">
        <v>201</v>
      </c>
      <c r="J117" s="31" t="s">
        <v>474</v>
      </c>
      <c r="K117" s="31" t="s">
        <v>31</v>
      </c>
      <c r="N117" s="31" t="s">
        <v>31</v>
      </c>
      <c r="O117" s="31" t="s">
        <v>31</v>
      </c>
      <c r="P117" s="31" t="s">
        <v>114</v>
      </c>
      <c r="Q117" s="31" t="s">
        <v>39</v>
      </c>
      <c r="T117" s="32">
        <v>88.3</v>
      </c>
      <c r="U117" s="32">
        <v>18.5</v>
      </c>
      <c r="V117" s="32">
        <v>16.8</v>
      </c>
      <c r="W117" s="32">
        <v>14.4</v>
      </c>
      <c r="X117" s="32">
        <v>13.5</v>
      </c>
      <c r="Y117" s="32">
        <v>9.8000000000000007</v>
      </c>
      <c r="Z117" s="32">
        <v>12.75</v>
      </c>
      <c r="AA117" s="32">
        <v>26.9</v>
      </c>
      <c r="AB117" s="33">
        <v>4.3039999999999898E-2</v>
      </c>
      <c r="AC117" s="32">
        <v>78.5</v>
      </c>
      <c r="AD117" s="32">
        <v>72</v>
      </c>
      <c r="AE117" s="31" t="s">
        <v>475</v>
      </c>
      <c r="AF117" s="31" t="s">
        <v>476</v>
      </c>
    </row>
    <row r="118" spans="1:32" s="31" customFormat="1" x14ac:dyDescent="0.25">
      <c r="A118" s="36" t="s">
        <v>477</v>
      </c>
      <c r="B118" s="36" t="s">
        <v>478</v>
      </c>
      <c r="C118" s="31" t="s">
        <v>444</v>
      </c>
      <c r="D118" s="31" t="s">
        <v>1608</v>
      </c>
      <c r="E118" s="31" t="s">
        <v>1791</v>
      </c>
      <c r="F118" s="66"/>
      <c r="G118" s="66">
        <v>1705</v>
      </c>
      <c r="I118" s="31">
        <v>187</v>
      </c>
      <c r="J118" s="31" t="s">
        <v>479</v>
      </c>
      <c r="K118" s="31" t="s">
        <v>31</v>
      </c>
      <c r="L118" s="31" t="s">
        <v>31</v>
      </c>
      <c r="M118" s="31" t="s">
        <v>31</v>
      </c>
      <c r="N118" s="31" t="s">
        <v>31</v>
      </c>
      <c r="O118" s="31" t="s">
        <v>31</v>
      </c>
      <c r="P118" s="31" t="s">
        <v>32</v>
      </c>
      <c r="Q118" s="31" t="s">
        <v>39</v>
      </c>
      <c r="R118" s="31">
        <v>1.1299999999999999</v>
      </c>
      <c r="S118" s="31">
        <v>0.85</v>
      </c>
      <c r="T118" s="32">
        <v>88.8</v>
      </c>
      <c r="U118" s="32">
        <v>18.100000000000001</v>
      </c>
      <c r="V118" s="32">
        <v>9.8000000000000007</v>
      </c>
      <c r="W118" s="32"/>
      <c r="X118" s="32">
        <v>7.9</v>
      </c>
      <c r="Y118" s="32"/>
      <c r="Z118" s="32"/>
      <c r="AA118" s="32">
        <v>8.1999999999999904</v>
      </c>
      <c r="AB118" s="33">
        <v>1.3119999999999901E-2</v>
      </c>
      <c r="AC118" s="32">
        <v>59.2</v>
      </c>
      <c r="AD118" s="32"/>
      <c r="AE118" s="31" t="s">
        <v>480</v>
      </c>
    </row>
    <row r="119" spans="1:32" s="31" customFormat="1" x14ac:dyDescent="0.25">
      <c r="A119" s="36" t="s">
        <v>481</v>
      </c>
      <c r="B119" s="36" t="s">
        <v>482</v>
      </c>
      <c r="C119" s="31" t="s">
        <v>204</v>
      </c>
      <c r="D119" s="31" t="s">
        <v>201</v>
      </c>
      <c r="E119" s="31" t="s">
        <v>1791</v>
      </c>
      <c r="F119" s="66">
        <v>1705</v>
      </c>
      <c r="G119" s="66">
        <v>1705</v>
      </c>
      <c r="H119" s="31">
        <v>187</v>
      </c>
      <c r="I119" s="31">
        <v>187</v>
      </c>
      <c r="J119" s="31" t="s">
        <v>483</v>
      </c>
      <c r="K119" s="31" t="s">
        <v>31</v>
      </c>
      <c r="L119" s="31" t="s">
        <v>31</v>
      </c>
      <c r="M119" s="31" t="s">
        <v>31</v>
      </c>
      <c r="N119" s="31" t="s">
        <v>31</v>
      </c>
      <c r="O119" s="31" t="s">
        <v>31</v>
      </c>
      <c r="P119" s="31" t="s">
        <v>114</v>
      </c>
      <c r="Q119" s="31" t="s">
        <v>39</v>
      </c>
      <c r="T119" s="32">
        <v>86.5</v>
      </c>
      <c r="U119" s="32">
        <v>18.3</v>
      </c>
      <c r="V119" s="32">
        <v>16.5</v>
      </c>
      <c r="W119" s="32">
        <v>16.100000000000001</v>
      </c>
      <c r="X119" s="32">
        <v>13.4</v>
      </c>
      <c r="Y119" s="32">
        <v>15.4</v>
      </c>
      <c r="Z119" s="32">
        <v>12.5</v>
      </c>
      <c r="AA119" s="32">
        <v>23.9</v>
      </c>
      <c r="AB119" s="33">
        <v>3.8239999999999899E-2</v>
      </c>
      <c r="AC119" s="32">
        <v>78</v>
      </c>
      <c r="AD119" s="32">
        <v>84.9</v>
      </c>
      <c r="AE119" s="31" t="s">
        <v>206</v>
      </c>
    </row>
    <row r="120" spans="1:32" s="31" customFormat="1" x14ac:dyDescent="0.25">
      <c r="A120" s="36" t="s">
        <v>484</v>
      </c>
      <c r="B120" s="36" t="s">
        <v>485</v>
      </c>
      <c r="C120" s="31" t="s">
        <v>444</v>
      </c>
      <c r="D120" s="31" t="s">
        <v>1608</v>
      </c>
      <c r="E120" s="31" t="s">
        <v>1791</v>
      </c>
      <c r="F120" s="66"/>
      <c r="G120" s="66">
        <v>1706</v>
      </c>
      <c r="I120" s="31">
        <v>195</v>
      </c>
      <c r="J120" s="31" t="s">
        <v>486</v>
      </c>
      <c r="K120" s="31" t="s">
        <v>31</v>
      </c>
      <c r="L120" s="31" t="s">
        <v>31</v>
      </c>
      <c r="N120" s="31" t="s">
        <v>31</v>
      </c>
      <c r="O120" s="31" t="s">
        <v>31</v>
      </c>
      <c r="P120" s="31" t="s">
        <v>114</v>
      </c>
      <c r="Q120" s="31" t="s">
        <v>39</v>
      </c>
      <c r="R120" s="31">
        <v>1.1299999999999999</v>
      </c>
      <c r="S120" s="31">
        <v>0.85</v>
      </c>
      <c r="T120" s="32">
        <v>95</v>
      </c>
      <c r="U120" s="32">
        <v>17.899999999999899</v>
      </c>
      <c r="V120" s="32">
        <v>11.2</v>
      </c>
      <c r="W120" s="32"/>
      <c r="X120" s="32">
        <v>9</v>
      </c>
      <c r="Y120" s="32"/>
      <c r="Z120" s="32"/>
      <c r="AA120" s="32">
        <v>13.7</v>
      </c>
      <c r="AB120" s="33">
        <v>2.1919999999999901E-2</v>
      </c>
      <c r="AC120" s="32">
        <v>67.599999999999994</v>
      </c>
      <c r="AD120" s="32"/>
      <c r="AE120" s="31" t="s">
        <v>487</v>
      </c>
    </row>
    <row r="121" spans="1:32" s="31" customFormat="1" x14ac:dyDescent="0.25">
      <c r="A121" s="36" t="s">
        <v>488</v>
      </c>
      <c r="B121" s="36" t="s">
        <v>489</v>
      </c>
      <c r="C121" s="31" t="s">
        <v>204</v>
      </c>
      <c r="D121" s="31" t="s">
        <v>201</v>
      </c>
      <c r="E121" s="31" t="s">
        <v>1791</v>
      </c>
      <c r="F121" s="66">
        <v>1706</v>
      </c>
      <c r="G121" s="66">
        <v>1706</v>
      </c>
      <c r="H121" s="31">
        <v>195</v>
      </c>
      <c r="I121" s="31">
        <v>195</v>
      </c>
      <c r="J121" s="31" t="s">
        <v>490</v>
      </c>
      <c r="K121" s="31" t="s">
        <v>31</v>
      </c>
      <c r="L121" s="31" t="s">
        <v>31</v>
      </c>
      <c r="N121" s="31" t="s">
        <v>31</v>
      </c>
      <c r="O121" s="31" t="s">
        <v>31</v>
      </c>
      <c r="P121" s="31" t="s">
        <v>114</v>
      </c>
      <c r="Q121" s="31" t="s">
        <v>39</v>
      </c>
      <c r="T121" s="32">
        <v>89.9</v>
      </c>
      <c r="U121" s="32">
        <v>18.7</v>
      </c>
      <c r="V121" s="32">
        <v>16.899999999999899</v>
      </c>
      <c r="W121" s="32">
        <v>15.2</v>
      </c>
      <c r="X121" s="32">
        <v>13.6</v>
      </c>
      <c r="Y121" s="32">
        <v>14.5</v>
      </c>
      <c r="Z121" s="32">
        <v>13.4</v>
      </c>
      <c r="AA121" s="32">
        <v>25.2</v>
      </c>
      <c r="AB121" s="33">
        <v>4.0320000000000002E-2</v>
      </c>
      <c r="AC121" s="32"/>
      <c r="AD121" s="32">
        <v>72.3</v>
      </c>
      <c r="AE121" s="34" t="s">
        <v>491</v>
      </c>
    </row>
    <row r="122" spans="1:32" s="31" customFormat="1" x14ac:dyDescent="0.25">
      <c r="A122" s="36" t="s">
        <v>492</v>
      </c>
      <c r="B122" s="36" t="s">
        <v>493</v>
      </c>
      <c r="C122" s="31" t="s">
        <v>444</v>
      </c>
      <c r="D122" s="31" t="s">
        <v>1608</v>
      </c>
      <c r="E122" s="31" t="s">
        <v>1791</v>
      </c>
      <c r="F122" s="66"/>
      <c r="G122" s="66">
        <v>1707</v>
      </c>
      <c r="I122" s="31">
        <v>197</v>
      </c>
      <c r="J122" s="31" t="s">
        <v>494</v>
      </c>
      <c r="K122" s="31" t="s">
        <v>31</v>
      </c>
      <c r="L122" s="31" t="s">
        <v>31</v>
      </c>
      <c r="M122" s="31" t="s">
        <v>31</v>
      </c>
      <c r="N122" s="31" t="s">
        <v>31</v>
      </c>
      <c r="O122" s="31" t="s">
        <v>31</v>
      </c>
      <c r="P122" s="31" t="s">
        <v>32</v>
      </c>
      <c r="Q122" s="31" t="s">
        <v>39</v>
      </c>
      <c r="R122" s="31">
        <v>1.1299999999999999</v>
      </c>
      <c r="S122" s="31">
        <v>0.85</v>
      </c>
      <c r="T122" s="32">
        <v>61.05</v>
      </c>
      <c r="U122" s="32">
        <v>19.45</v>
      </c>
      <c r="V122" s="32">
        <v>11.45</v>
      </c>
      <c r="W122" s="32"/>
      <c r="X122" s="32">
        <v>9.1499999999999897</v>
      </c>
      <c r="Y122" s="32"/>
      <c r="Z122" s="32"/>
      <c r="AA122" s="32">
        <v>16.75</v>
      </c>
      <c r="AB122" s="33">
        <v>2.6800000000000001E-2</v>
      </c>
      <c r="AC122" s="32">
        <v>64.5</v>
      </c>
      <c r="AD122" s="32"/>
      <c r="AE122" s="31" t="s">
        <v>495</v>
      </c>
    </row>
    <row r="123" spans="1:32" s="31" customFormat="1" x14ac:dyDescent="0.25">
      <c r="A123" s="36" t="s">
        <v>496</v>
      </c>
      <c r="B123" s="36" t="s">
        <v>497</v>
      </c>
      <c r="C123" s="31" t="s">
        <v>204</v>
      </c>
      <c r="D123" s="31" t="s">
        <v>201</v>
      </c>
      <c r="E123" s="31" t="s">
        <v>1791</v>
      </c>
      <c r="F123" s="66">
        <v>1707</v>
      </c>
      <c r="G123" s="66">
        <v>1707</v>
      </c>
      <c r="H123" s="31">
        <v>197</v>
      </c>
      <c r="I123" s="31">
        <v>197</v>
      </c>
      <c r="J123" s="31" t="s">
        <v>498</v>
      </c>
      <c r="P123" s="31" t="s">
        <v>114</v>
      </c>
      <c r="Q123" s="31" t="s">
        <v>39</v>
      </c>
      <c r="T123" s="32">
        <v>89.2</v>
      </c>
      <c r="U123" s="32">
        <v>18.7</v>
      </c>
      <c r="V123" s="32">
        <v>16.7</v>
      </c>
      <c r="W123" s="32">
        <v>14.3</v>
      </c>
      <c r="X123" s="32">
        <v>13.5</v>
      </c>
      <c r="Y123" s="32">
        <v>13.6</v>
      </c>
      <c r="Z123" s="32">
        <v>14.1</v>
      </c>
      <c r="AA123" s="32">
        <v>22.4</v>
      </c>
      <c r="AB123" s="33">
        <v>3.58399999999999E-2</v>
      </c>
      <c r="AC123" s="32"/>
      <c r="AD123" s="32">
        <v>88.4</v>
      </c>
      <c r="AE123" s="34" t="s">
        <v>499</v>
      </c>
    </row>
    <row r="124" spans="1:32" s="31" customFormat="1" x14ac:dyDescent="0.25">
      <c r="A124" s="36" t="s">
        <v>500</v>
      </c>
      <c r="B124" s="36" t="s">
        <v>501</v>
      </c>
      <c r="C124" s="31" t="s">
        <v>444</v>
      </c>
      <c r="D124" s="31" t="s">
        <v>1608</v>
      </c>
      <c r="E124" s="31" t="s">
        <v>1791</v>
      </c>
      <c r="F124" s="66"/>
      <c r="G124" s="66">
        <v>1708</v>
      </c>
      <c r="I124" s="31">
        <v>203</v>
      </c>
      <c r="J124" s="31" t="s">
        <v>502</v>
      </c>
      <c r="K124" s="31" t="s">
        <v>31</v>
      </c>
      <c r="L124" s="31" t="s">
        <v>31</v>
      </c>
      <c r="M124" s="31" t="s">
        <v>31</v>
      </c>
      <c r="P124" s="31" t="s">
        <v>38</v>
      </c>
      <c r="Q124" s="31" t="s">
        <v>39</v>
      </c>
      <c r="R124" s="31">
        <v>1.1299999999999999</v>
      </c>
      <c r="S124" s="31">
        <v>0.85</v>
      </c>
      <c r="T124" s="32">
        <v>91.3</v>
      </c>
      <c r="U124" s="32">
        <v>17.2</v>
      </c>
      <c r="V124" s="32">
        <v>8</v>
      </c>
      <c r="W124" s="32"/>
      <c r="X124" s="32">
        <v>6.5</v>
      </c>
      <c r="Y124" s="32"/>
      <c r="Z124" s="32"/>
      <c r="AA124" s="32">
        <v>11.2</v>
      </c>
      <c r="AB124" s="33">
        <v>1.7919999999999901E-2</v>
      </c>
      <c r="AC124" s="32"/>
      <c r="AD124" s="32"/>
      <c r="AE124" s="34" t="s">
        <v>503</v>
      </c>
    </row>
    <row r="125" spans="1:32" s="31" customFormat="1" x14ac:dyDescent="0.25">
      <c r="A125" s="36" t="s">
        <v>504</v>
      </c>
      <c r="B125" s="31" t="s">
        <v>505</v>
      </c>
      <c r="C125" s="31" t="s">
        <v>204</v>
      </c>
      <c r="D125" s="31" t="s">
        <v>201</v>
      </c>
      <c r="E125" s="31" t="s">
        <v>1791</v>
      </c>
      <c r="F125" s="66">
        <v>1708</v>
      </c>
      <c r="G125" s="66">
        <v>1708</v>
      </c>
      <c r="H125" s="31">
        <v>203</v>
      </c>
      <c r="I125" s="31">
        <v>203</v>
      </c>
      <c r="J125" s="31" t="s">
        <v>506</v>
      </c>
      <c r="K125" s="31" t="s">
        <v>31</v>
      </c>
      <c r="L125" s="31" t="s">
        <v>31</v>
      </c>
      <c r="M125" s="31" t="s">
        <v>31</v>
      </c>
      <c r="P125" s="31" t="s">
        <v>38</v>
      </c>
      <c r="Q125" s="31" t="s">
        <v>39</v>
      </c>
      <c r="T125" s="32">
        <v>86.8</v>
      </c>
      <c r="U125" s="32">
        <v>19.399999999999899</v>
      </c>
      <c r="V125" s="32">
        <v>17.600000000000001</v>
      </c>
      <c r="W125" s="32">
        <v>14.4</v>
      </c>
      <c r="X125" s="32">
        <v>15.9</v>
      </c>
      <c r="Y125" s="32">
        <v>11.5</v>
      </c>
      <c r="Z125" s="32">
        <v>10.5</v>
      </c>
      <c r="AA125" s="32">
        <v>19.8</v>
      </c>
      <c r="AB125" s="33">
        <v>3.168E-2</v>
      </c>
      <c r="AC125" s="32"/>
      <c r="AD125" s="32"/>
      <c r="AE125" s="35" t="s">
        <v>507</v>
      </c>
    </row>
    <row r="126" spans="1:32" s="31" customFormat="1" x14ac:dyDescent="0.25">
      <c r="A126" s="36" t="s">
        <v>508</v>
      </c>
      <c r="B126" s="36" t="s">
        <v>509</v>
      </c>
      <c r="C126" s="31" t="s">
        <v>444</v>
      </c>
      <c r="D126" s="31" t="s">
        <v>1608</v>
      </c>
      <c r="E126" s="31" t="s">
        <v>1791</v>
      </c>
      <c r="F126" s="66"/>
      <c r="G126" s="66" t="s">
        <v>1633</v>
      </c>
      <c r="I126" s="31">
        <v>205</v>
      </c>
      <c r="J126" s="31" t="s">
        <v>510</v>
      </c>
      <c r="K126" s="31" t="s">
        <v>31</v>
      </c>
      <c r="L126" s="31" t="s">
        <v>31</v>
      </c>
      <c r="M126" s="31" t="s">
        <v>31</v>
      </c>
      <c r="N126" s="31" t="s">
        <v>31</v>
      </c>
      <c r="O126" s="31" t="s">
        <v>31</v>
      </c>
      <c r="P126" s="31" t="s">
        <v>32</v>
      </c>
      <c r="Q126" s="31" t="s">
        <v>39</v>
      </c>
      <c r="R126" s="31">
        <v>1.1299999999999999</v>
      </c>
      <c r="S126" s="31">
        <v>0.85</v>
      </c>
      <c r="T126" s="32">
        <v>91.1</v>
      </c>
      <c r="U126" s="32">
        <v>17.8</v>
      </c>
      <c r="V126" s="32">
        <v>9.5</v>
      </c>
      <c r="W126" s="32"/>
      <c r="X126" s="32">
        <v>7.7</v>
      </c>
      <c r="Y126" s="32"/>
      <c r="Z126" s="32"/>
      <c r="AA126" s="32">
        <v>7</v>
      </c>
      <c r="AB126" s="33">
        <v>1.12E-2</v>
      </c>
      <c r="AC126" s="32">
        <v>47.8</v>
      </c>
      <c r="AD126" s="32"/>
      <c r="AE126" s="34" t="s">
        <v>511</v>
      </c>
    </row>
    <row r="127" spans="1:32" s="31" customFormat="1" x14ac:dyDescent="0.25">
      <c r="A127" s="36" t="s">
        <v>512</v>
      </c>
      <c r="B127" s="36" t="s">
        <v>513</v>
      </c>
      <c r="C127" s="31" t="s">
        <v>204</v>
      </c>
      <c r="D127" s="31" t="s">
        <v>201</v>
      </c>
      <c r="E127" s="31" t="s">
        <v>1791</v>
      </c>
      <c r="F127" s="66" t="s">
        <v>1633</v>
      </c>
      <c r="G127" s="66" t="s">
        <v>1633</v>
      </c>
      <c r="H127" s="31">
        <v>205</v>
      </c>
      <c r="I127" s="31">
        <v>205</v>
      </c>
      <c r="J127" s="31" t="s">
        <v>514</v>
      </c>
      <c r="K127" s="31" t="s">
        <v>31</v>
      </c>
      <c r="L127" s="31" t="s">
        <v>31</v>
      </c>
      <c r="M127" s="31" t="s">
        <v>31</v>
      </c>
      <c r="N127" s="31" t="s">
        <v>31</v>
      </c>
      <c r="O127" s="31" t="s">
        <v>31</v>
      </c>
      <c r="P127" s="31" t="s">
        <v>32</v>
      </c>
      <c r="Q127" s="31" t="s">
        <v>39</v>
      </c>
      <c r="T127" s="32">
        <v>87.9</v>
      </c>
      <c r="U127" s="32">
        <v>18.899999999999899</v>
      </c>
      <c r="V127" s="32">
        <v>17.2</v>
      </c>
      <c r="W127" s="32">
        <v>15.5</v>
      </c>
      <c r="X127" s="32">
        <v>13.8</v>
      </c>
      <c r="Y127" s="32">
        <v>14.7</v>
      </c>
      <c r="Z127" s="32">
        <v>10.8</v>
      </c>
      <c r="AA127" s="32">
        <v>28.4</v>
      </c>
      <c r="AB127" s="33">
        <v>4.5439999999999897E-2</v>
      </c>
      <c r="AC127" s="32">
        <v>86</v>
      </c>
      <c r="AD127" s="32">
        <v>95.5</v>
      </c>
      <c r="AE127" s="31" t="s">
        <v>515</v>
      </c>
      <c r="AF127" s="35" t="s">
        <v>516</v>
      </c>
    </row>
    <row r="128" spans="1:32" s="31" customFormat="1" x14ac:dyDescent="0.25">
      <c r="A128" s="36" t="s">
        <v>517</v>
      </c>
      <c r="B128" s="36" t="s">
        <v>518</v>
      </c>
      <c r="C128" s="31" t="s">
        <v>444</v>
      </c>
      <c r="D128" s="31" t="s">
        <v>1608</v>
      </c>
      <c r="E128" s="31" t="s">
        <v>1791</v>
      </c>
      <c r="F128" s="66"/>
      <c r="G128" s="66" t="s">
        <v>1634</v>
      </c>
      <c r="I128" s="31">
        <v>210</v>
      </c>
      <c r="J128" s="31" t="s">
        <v>519</v>
      </c>
      <c r="K128" s="31" t="s">
        <v>31</v>
      </c>
      <c r="L128" s="31" t="s">
        <v>31</v>
      </c>
      <c r="M128" s="31" t="s">
        <v>31</v>
      </c>
      <c r="N128" s="31" t="s">
        <v>31</v>
      </c>
      <c r="P128" s="31" t="s">
        <v>114</v>
      </c>
      <c r="Q128" s="31" t="s">
        <v>39</v>
      </c>
      <c r="R128" s="31">
        <v>1.1299999999999999</v>
      </c>
      <c r="S128" s="31">
        <v>0.85</v>
      </c>
      <c r="T128" s="32">
        <v>17.8</v>
      </c>
      <c r="U128" s="32">
        <v>18.2</v>
      </c>
      <c r="V128" s="32">
        <v>11.1</v>
      </c>
      <c r="W128" s="32"/>
      <c r="X128" s="32">
        <v>8.8000000000000007</v>
      </c>
      <c r="Y128" s="32"/>
      <c r="Z128" s="32"/>
      <c r="AA128" s="32">
        <v>15.5</v>
      </c>
      <c r="AB128" s="33">
        <v>2.4799999999999899E-2</v>
      </c>
      <c r="AC128" s="32"/>
      <c r="AD128" s="32"/>
      <c r="AE128" s="31" t="s">
        <v>520</v>
      </c>
    </row>
    <row r="129" spans="1:33" s="31" customFormat="1" x14ac:dyDescent="0.25">
      <c r="A129" s="36" t="s">
        <v>521</v>
      </c>
      <c r="B129" s="36" t="s">
        <v>522</v>
      </c>
      <c r="C129" s="31" t="s">
        <v>204</v>
      </c>
      <c r="D129" s="31" t="s">
        <v>201</v>
      </c>
      <c r="E129" s="31" t="s">
        <v>1791</v>
      </c>
      <c r="F129" s="66" t="s">
        <v>1634</v>
      </c>
      <c r="G129" s="66" t="s">
        <v>1634</v>
      </c>
      <c r="H129" s="31">
        <v>210</v>
      </c>
      <c r="I129" s="31">
        <v>210</v>
      </c>
      <c r="J129" s="31" t="s">
        <v>523</v>
      </c>
      <c r="K129" s="31" t="s">
        <v>31</v>
      </c>
      <c r="L129" s="31" t="s">
        <v>31</v>
      </c>
      <c r="M129" s="31" t="s">
        <v>31</v>
      </c>
      <c r="N129" s="31" t="s">
        <v>31</v>
      </c>
      <c r="O129" s="31" t="s">
        <v>31</v>
      </c>
      <c r="P129" s="31" t="s">
        <v>32</v>
      </c>
      <c r="Q129" s="31" t="s">
        <v>39</v>
      </c>
      <c r="T129" s="32">
        <v>89</v>
      </c>
      <c r="U129" s="32">
        <v>20.6666666666666</v>
      </c>
      <c r="V129" s="32">
        <v>18.5063999999999</v>
      </c>
      <c r="W129" s="32">
        <v>16.133333333333301</v>
      </c>
      <c r="X129" s="32">
        <v>14.2666666666666</v>
      </c>
      <c r="Y129" s="32">
        <v>14.966666666666599</v>
      </c>
      <c r="Z129" s="32">
        <v>11.25</v>
      </c>
      <c r="AA129" s="32">
        <v>37.933333333333302</v>
      </c>
      <c r="AB129" s="33">
        <v>6.0693333333333301E-2</v>
      </c>
      <c r="AC129" s="32">
        <v>80</v>
      </c>
      <c r="AD129" s="32">
        <v>83.3</v>
      </c>
      <c r="AE129" s="31" t="s">
        <v>524</v>
      </c>
    </row>
    <row r="130" spans="1:33" s="31" customFormat="1" x14ac:dyDescent="0.25">
      <c r="A130" s="36" t="s">
        <v>525</v>
      </c>
      <c r="B130" s="36" t="s">
        <v>526</v>
      </c>
      <c r="C130" s="31" t="s">
        <v>444</v>
      </c>
      <c r="D130" s="31" t="s">
        <v>1608</v>
      </c>
      <c r="E130" s="31" t="s">
        <v>1791</v>
      </c>
      <c r="F130" s="66"/>
      <c r="G130" s="66" t="s">
        <v>1635</v>
      </c>
      <c r="I130" s="31">
        <v>211</v>
      </c>
      <c r="J130" s="31" t="s">
        <v>527</v>
      </c>
      <c r="P130" s="31" t="s">
        <v>114</v>
      </c>
      <c r="Q130" s="31" t="s">
        <v>39</v>
      </c>
      <c r="R130" s="31">
        <v>1.1299999999999999</v>
      </c>
      <c r="S130" s="31">
        <v>0.85</v>
      </c>
      <c r="T130" s="65">
        <v>80.524999999999991</v>
      </c>
      <c r="U130" s="32">
        <v>18.065000000000001</v>
      </c>
      <c r="V130" s="32">
        <v>9.4849999999999905</v>
      </c>
      <c r="W130" s="32"/>
      <c r="X130" s="32">
        <v>7.6449999999999996</v>
      </c>
      <c r="Y130" s="32"/>
      <c r="Z130" s="32"/>
      <c r="AA130" s="32">
        <v>9.9250000000000007</v>
      </c>
      <c r="AB130" s="41">
        <v>1.5879999999999998E-2</v>
      </c>
      <c r="AC130" s="32">
        <v>50.487500000000004</v>
      </c>
      <c r="AD130" s="32"/>
      <c r="AE130" s="31" t="s">
        <v>528</v>
      </c>
    </row>
    <row r="131" spans="1:33" s="31" customFormat="1" x14ac:dyDescent="0.25">
      <c r="A131" s="36" t="s">
        <v>529</v>
      </c>
      <c r="B131" s="36" t="s">
        <v>530</v>
      </c>
      <c r="C131" s="31" t="s">
        <v>204</v>
      </c>
      <c r="D131" s="31" t="s">
        <v>201</v>
      </c>
      <c r="E131" s="31" t="s">
        <v>1791</v>
      </c>
      <c r="F131" s="66" t="s">
        <v>1635</v>
      </c>
      <c r="G131" s="66" t="s">
        <v>1635</v>
      </c>
      <c r="H131" s="31">
        <v>211</v>
      </c>
      <c r="I131" s="31">
        <v>211</v>
      </c>
      <c r="J131" s="31" t="s">
        <v>531</v>
      </c>
      <c r="P131" s="31" t="s">
        <v>114</v>
      </c>
      <c r="Q131" s="31" t="s">
        <v>39</v>
      </c>
      <c r="T131" s="32">
        <v>87.899999999999977</v>
      </c>
      <c r="U131" s="32">
        <v>18.922222222222199</v>
      </c>
      <c r="V131" s="32">
        <v>16.746366666666638</v>
      </c>
      <c r="W131" s="32">
        <v>15.16111111111111</v>
      </c>
      <c r="X131" s="32">
        <v>13.584722222222217</v>
      </c>
      <c r="Y131" s="32">
        <v>13.793055555555549</v>
      </c>
      <c r="Z131" s="32">
        <v>12.259090909090908</v>
      </c>
      <c r="AA131" s="32">
        <v>25.36944444444444</v>
      </c>
      <c r="AB131" s="62">
        <v>4.0591111111111064E-2</v>
      </c>
      <c r="AC131" s="53">
        <v>76.944444444444443</v>
      </c>
      <c r="AD131" s="53">
        <v>82.790909090909082</v>
      </c>
      <c r="AE131" s="31" t="s">
        <v>532</v>
      </c>
    </row>
    <row r="132" spans="1:33" s="31" customFormat="1" x14ac:dyDescent="0.25">
      <c r="A132" s="36" t="s">
        <v>533</v>
      </c>
      <c r="B132" s="31" t="s">
        <v>534</v>
      </c>
      <c r="D132" s="31" t="s">
        <v>152</v>
      </c>
      <c r="E132" s="31" t="s">
        <v>1791</v>
      </c>
      <c r="F132" s="66">
        <v>1801</v>
      </c>
      <c r="G132" s="66">
        <v>1801</v>
      </c>
      <c r="H132" s="31">
        <v>157</v>
      </c>
      <c r="I132" s="31">
        <v>157</v>
      </c>
      <c r="J132" s="31" t="s">
        <v>535</v>
      </c>
      <c r="K132" s="31" t="s">
        <v>31</v>
      </c>
      <c r="L132" s="31" t="s">
        <v>31</v>
      </c>
      <c r="M132" s="31" t="s">
        <v>31</v>
      </c>
      <c r="N132" s="31" t="s">
        <v>31</v>
      </c>
      <c r="O132" s="31" t="s">
        <v>31</v>
      </c>
      <c r="P132" s="31" t="s">
        <v>32</v>
      </c>
      <c r="Q132" s="31" t="s">
        <v>39</v>
      </c>
      <c r="T132" s="32">
        <v>88.8</v>
      </c>
      <c r="U132" s="32">
        <v>17.100000000000001</v>
      </c>
      <c r="V132" s="32">
        <f>U132*0.7</f>
        <v>11.97</v>
      </c>
      <c r="W132" s="32">
        <v>12.2</v>
      </c>
      <c r="X132" s="32">
        <v>11.4</v>
      </c>
      <c r="Y132" s="32">
        <v>11.5</v>
      </c>
      <c r="Z132" s="32"/>
      <c r="AA132" s="32">
        <v>8.9</v>
      </c>
      <c r="AB132" s="33">
        <f>AA132/6.25/100</f>
        <v>1.4240000000000001E-2</v>
      </c>
      <c r="AC132" s="32">
        <v>70</v>
      </c>
      <c r="AD132" s="32">
        <v>49</v>
      </c>
      <c r="AE132" s="31" t="s">
        <v>536</v>
      </c>
    </row>
    <row r="133" spans="1:33" s="31" customFormat="1" x14ac:dyDescent="0.25">
      <c r="A133" s="36" t="s">
        <v>537</v>
      </c>
      <c r="B133" s="31" t="s">
        <v>538</v>
      </c>
      <c r="C133" s="31" t="s">
        <v>539</v>
      </c>
      <c r="D133" s="31" t="s">
        <v>1608</v>
      </c>
      <c r="E133" s="31" t="s">
        <v>1791</v>
      </c>
      <c r="F133" s="66"/>
      <c r="G133" s="66">
        <v>1802</v>
      </c>
      <c r="I133" s="31">
        <v>156</v>
      </c>
      <c r="J133" s="31" t="s">
        <v>540</v>
      </c>
      <c r="P133" s="31" t="s">
        <v>32</v>
      </c>
      <c r="Q133" s="31" t="s">
        <v>39</v>
      </c>
      <c r="R133" s="31">
        <v>0.28000000000000003</v>
      </c>
      <c r="S133" s="31">
        <v>0</v>
      </c>
      <c r="T133" s="32">
        <v>26.8</v>
      </c>
      <c r="U133" s="32">
        <v>18</v>
      </c>
      <c r="V133" s="32">
        <v>9.8000000000000007</v>
      </c>
      <c r="W133" s="32"/>
      <c r="X133" s="32">
        <v>8</v>
      </c>
      <c r="Y133" s="32"/>
      <c r="Z133" s="32"/>
      <c r="AA133" s="32">
        <v>4.9000000000000004</v>
      </c>
      <c r="AB133" s="41">
        <v>7.8399999999999893E-3</v>
      </c>
      <c r="AC133" s="31">
        <v>43.6</v>
      </c>
      <c r="AD133" s="32"/>
      <c r="AE133" s="54" t="s">
        <v>541</v>
      </c>
    </row>
    <row r="134" spans="1:33" s="31" customFormat="1" x14ac:dyDescent="0.25">
      <c r="A134" s="36" t="s">
        <v>542</v>
      </c>
      <c r="B134" s="31" t="s">
        <v>543</v>
      </c>
      <c r="D134" s="31" t="s">
        <v>152</v>
      </c>
      <c r="E134" s="31" t="s">
        <v>1791</v>
      </c>
      <c r="F134" s="66">
        <v>1802</v>
      </c>
      <c r="G134" s="66">
        <v>1802</v>
      </c>
      <c r="H134" s="31">
        <v>156</v>
      </c>
      <c r="I134" s="31">
        <v>156</v>
      </c>
      <c r="J134" s="31" t="s">
        <v>544</v>
      </c>
      <c r="Q134" s="31" t="s">
        <v>39</v>
      </c>
      <c r="T134" s="32">
        <v>23.2</v>
      </c>
      <c r="U134" s="32">
        <v>18.2</v>
      </c>
      <c r="V134" s="32">
        <v>11</v>
      </c>
      <c r="W134" s="32"/>
      <c r="X134" s="32">
        <v>9</v>
      </c>
      <c r="Y134" s="32"/>
      <c r="Z134" s="32"/>
      <c r="AA134" s="32">
        <v>4.3</v>
      </c>
      <c r="AB134" s="41">
        <f>AA134/6.25/100</f>
        <v>6.8799999999999998E-3</v>
      </c>
      <c r="AC134" s="55">
        <v>65</v>
      </c>
      <c r="AD134" s="32"/>
      <c r="AE134" s="54" t="s">
        <v>545</v>
      </c>
    </row>
    <row r="135" spans="1:33" s="28" customFormat="1" x14ac:dyDescent="0.25">
      <c r="A135" s="61" t="s">
        <v>546</v>
      </c>
      <c r="B135" s="28" t="s">
        <v>547</v>
      </c>
      <c r="D135" s="28" t="s">
        <v>152</v>
      </c>
      <c r="E135" s="28" t="s">
        <v>1789</v>
      </c>
      <c r="F135" s="69">
        <v>1809</v>
      </c>
      <c r="G135" s="69"/>
      <c r="T135" s="29"/>
      <c r="U135" s="29"/>
      <c r="V135" s="29"/>
      <c r="W135" s="29"/>
      <c r="X135" s="29"/>
      <c r="Y135" s="29"/>
      <c r="Z135" s="29"/>
      <c r="AA135" s="29"/>
      <c r="AB135" s="30"/>
      <c r="AC135" s="29"/>
      <c r="AD135" s="29"/>
    </row>
    <row r="136" spans="1:33" s="28" customFormat="1" x14ac:dyDescent="0.25">
      <c r="A136" s="61" t="s">
        <v>548</v>
      </c>
      <c r="B136" s="51" t="s">
        <v>549</v>
      </c>
      <c r="C136" s="28" t="s">
        <v>550</v>
      </c>
      <c r="D136" s="28" t="s">
        <v>147</v>
      </c>
      <c r="E136" s="28" t="s">
        <v>1789</v>
      </c>
      <c r="F136" s="69"/>
      <c r="G136" s="69"/>
      <c r="J136" s="28" t="s">
        <v>551</v>
      </c>
      <c r="P136" s="28" t="s">
        <v>38</v>
      </c>
      <c r="R136" s="28">
        <v>1.0900000000000001</v>
      </c>
      <c r="S136" s="28">
        <v>0.88</v>
      </c>
      <c r="T136" s="29"/>
      <c r="U136" s="29"/>
      <c r="V136" s="29"/>
      <c r="W136" s="29"/>
      <c r="X136" s="29"/>
      <c r="Y136" s="29"/>
      <c r="Z136" s="29"/>
      <c r="AA136" s="29"/>
      <c r="AB136" s="30"/>
      <c r="AC136" s="29"/>
      <c r="AD136" s="29"/>
    </row>
    <row r="137" spans="1:33" s="31" customFormat="1" x14ac:dyDescent="0.25">
      <c r="A137" s="36" t="s">
        <v>552</v>
      </c>
      <c r="B137" s="31" t="s">
        <v>553</v>
      </c>
      <c r="C137" s="31" t="s">
        <v>550</v>
      </c>
      <c r="D137" s="31" t="s">
        <v>147</v>
      </c>
      <c r="E137" s="31" t="s">
        <v>1791</v>
      </c>
      <c r="F137" s="66">
        <v>1911</v>
      </c>
      <c r="G137" s="66">
        <v>112</v>
      </c>
      <c r="H137" s="31">
        <v>636</v>
      </c>
      <c r="I137" s="31">
        <v>56</v>
      </c>
      <c r="J137" s="31" t="s">
        <v>554</v>
      </c>
      <c r="K137" s="31" t="s">
        <v>31</v>
      </c>
      <c r="L137" s="31" t="s">
        <v>31</v>
      </c>
      <c r="M137" s="31" t="s">
        <v>31</v>
      </c>
      <c r="N137" s="31" t="s">
        <v>31</v>
      </c>
      <c r="P137" s="31" t="s">
        <v>32</v>
      </c>
      <c r="Q137" s="31" t="s">
        <v>165</v>
      </c>
      <c r="R137" s="31">
        <f>R5</f>
        <v>1.03</v>
      </c>
      <c r="S137" s="31">
        <f>S5</f>
        <v>0.61</v>
      </c>
      <c r="T137" s="32">
        <v>30.3</v>
      </c>
      <c r="U137" s="32">
        <v>18.95</v>
      </c>
      <c r="V137" s="32">
        <v>13.024999999999901</v>
      </c>
      <c r="W137" s="32"/>
      <c r="X137" s="32">
        <v>10.775</v>
      </c>
      <c r="Y137" s="32"/>
      <c r="Z137" s="32"/>
      <c r="AA137" s="32">
        <v>7.2249999999999996</v>
      </c>
      <c r="AB137" s="33">
        <v>1.1560000000000001E-2</v>
      </c>
      <c r="AC137" s="32">
        <v>58.6</v>
      </c>
      <c r="AD137" s="32"/>
      <c r="AE137" s="31" t="s">
        <v>555</v>
      </c>
    </row>
    <row r="138" spans="1:33" s="31" customFormat="1" x14ac:dyDescent="0.25">
      <c r="A138" s="36" t="s">
        <v>556</v>
      </c>
      <c r="B138" s="31" t="s">
        <v>557</v>
      </c>
      <c r="C138" s="31" t="s">
        <v>550</v>
      </c>
      <c r="D138" s="31" t="s">
        <v>147</v>
      </c>
      <c r="E138" s="31" t="s">
        <v>1791</v>
      </c>
      <c r="F138" s="66">
        <v>1912</v>
      </c>
      <c r="G138" s="66">
        <v>1912</v>
      </c>
      <c r="H138" s="31">
        <v>641</v>
      </c>
      <c r="I138" s="31">
        <v>641</v>
      </c>
      <c r="J138" s="31" t="s">
        <v>558</v>
      </c>
      <c r="K138" s="31" t="s">
        <v>31</v>
      </c>
      <c r="L138" s="31" t="s">
        <v>31</v>
      </c>
      <c r="N138" s="31" t="s">
        <v>31</v>
      </c>
      <c r="O138" s="31" t="s">
        <v>31</v>
      </c>
      <c r="P138" s="31" t="s">
        <v>32</v>
      </c>
      <c r="Q138" s="31" t="s">
        <v>165</v>
      </c>
      <c r="T138" s="32">
        <v>30.8</v>
      </c>
      <c r="U138" s="32">
        <v>18.2</v>
      </c>
      <c r="V138" s="32">
        <v>11.3</v>
      </c>
      <c r="W138" s="32">
        <v>8</v>
      </c>
      <c r="X138" s="32">
        <v>8.9</v>
      </c>
      <c r="Y138" s="32"/>
      <c r="Z138" s="32"/>
      <c r="AA138" s="32">
        <v>19.100000000000001</v>
      </c>
      <c r="AB138" s="33">
        <f>AA138/6.25/100</f>
        <v>3.056E-2</v>
      </c>
      <c r="AC138" s="32">
        <v>71</v>
      </c>
      <c r="AD138" s="32"/>
      <c r="AE138" s="31" t="s">
        <v>559</v>
      </c>
    </row>
    <row r="139" spans="1:33" s="42" customFormat="1" x14ac:dyDescent="0.25">
      <c r="A139" s="36" t="s">
        <v>560</v>
      </c>
      <c r="B139" s="42" t="s">
        <v>561</v>
      </c>
      <c r="D139" s="42" t="s">
        <v>1608</v>
      </c>
      <c r="F139" s="72">
        <v>1913</v>
      </c>
      <c r="G139" s="72" t="s">
        <v>237</v>
      </c>
      <c r="H139" s="42">
        <v>635</v>
      </c>
      <c r="I139" s="42" t="s">
        <v>237</v>
      </c>
      <c r="J139" s="42" t="s">
        <v>562</v>
      </c>
      <c r="Q139" s="42" t="s">
        <v>165</v>
      </c>
      <c r="R139" s="42">
        <v>1.0900000000000001</v>
      </c>
      <c r="S139" s="42">
        <v>0.88</v>
      </c>
      <c r="T139" s="43">
        <v>91.26</v>
      </c>
      <c r="U139" s="43">
        <v>18.3</v>
      </c>
      <c r="V139" s="43">
        <v>8.5</v>
      </c>
      <c r="W139" s="43">
        <v>2.54</v>
      </c>
      <c r="X139" s="43">
        <v>6.93</v>
      </c>
      <c r="Y139" s="43">
        <v>2.2400000000000002</v>
      </c>
      <c r="Z139" s="43">
        <v>3.1</v>
      </c>
      <c r="AA139" s="43">
        <v>3.83</v>
      </c>
      <c r="AB139" s="44">
        <f>AA139/6.25/100</f>
        <v>6.1279999999999998E-3</v>
      </c>
      <c r="AC139" s="43">
        <v>16.48</v>
      </c>
      <c r="AD139" s="43">
        <v>60.95</v>
      </c>
      <c r="AE139" s="42" t="s">
        <v>563</v>
      </c>
      <c r="AG139" s="42" t="s">
        <v>564</v>
      </c>
    </row>
    <row r="140" spans="1:33" s="28" customFormat="1" x14ac:dyDescent="0.25">
      <c r="A140" s="61" t="s">
        <v>565</v>
      </c>
      <c r="B140" s="28" t="s">
        <v>566</v>
      </c>
      <c r="C140" s="28" t="s">
        <v>550</v>
      </c>
      <c r="D140" s="28" t="s">
        <v>147</v>
      </c>
      <c r="E140" s="28" t="s">
        <v>1789</v>
      </c>
      <c r="F140" s="69" t="s">
        <v>1636</v>
      </c>
      <c r="G140" s="69">
        <v>114</v>
      </c>
      <c r="I140" s="28">
        <v>83</v>
      </c>
      <c r="R140" s="28">
        <f>R9</f>
        <v>0.88</v>
      </c>
      <c r="S140" s="28">
        <f>S9</f>
        <v>1.33</v>
      </c>
      <c r="T140" s="29"/>
      <c r="U140" s="29"/>
      <c r="V140" s="29"/>
      <c r="W140" s="29"/>
      <c r="X140" s="29"/>
      <c r="Y140" s="29"/>
      <c r="Z140" s="29"/>
      <c r="AA140" s="29"/>
      <c r="AB140" s="30"/>
      <c r="AC140" s="29"/>
      <c r="AD140" s="29"/>
    </row>
    <row r="141" spans="1:33" s="31" customFormat="1" x14ac:dyDescent="0.25">
      <c r="A141" s="36" t="s">
        <v>567</v>
      </c>
      <c r="B141" s="31" t="s">
        <v>568</v>
      </c>
      <c r="D141" s="31" t="s">
        <v>147</v>
      </c>
      <c r="E141" s="31" t="s">
        <v>1791</v>
      </c>
      <c r="F141" s="66" t="s">
        <v>1637</v>
      </c>
      <c r="G141" s="66">
        <v>116</v>
      </c>
      <c r="I141" s="31">
        <v>71</v>
      </c>
      <c r="J141" s="31" t="s">
        <v>569</v>
      </c>
      <c r="L141" s="31" t="s">
        <v>31</v>
      </c>
      <c r="M141" s="31" t="s">
        <v>31</v>
      </c>
      <c r="N141" s="31" t="s">
        <v>31</v>
      </c>
      <c r="P141" s="31" t="s">
        <v>32</v>
      </c>
      <c r="R141" s="31">
        <f>R13</f>
        <v>1.0900000000000001</v>
      </c>
      <c r="S141" s="31">
        <f>S13</f>
        <v>0.88</v>
      </c>
      <c r="T141" s="32">
        <v>16.8</v>
      </c>
      <c r="U141" s="32">
        <v>17.8</v>
      </c>
      <c r="V141" s="32">
        <v>11.9</v>
      </c>
      <c r="W141" s="32"/>
      <c r="X141" s="32">
        <v>9.5</v>
      </c>
      <c r="Y141" s="32"/>
      <c r="Z141" s="32"/>
      <c r="AA141" s="32">
        <v>15.1</v>
      </c>
      <c r="AB141" s="33"/>
      <c r="AC141" s="32">
        <v>71.7</v>
      </c>
      <c r="AD141" s="32"/>
      <c r="AE141" s="31" t="s">
        <v>570</v>
      </c>
    </row>
    <row r="142" spans="1:33" s="31" customFormat="1" x14ac:dyDescent="0.25">
      <c r="A142" s="36" t="s">
        <v>571</v>
      </c>
      <c r="B142" s="31" t="s">
        <v>572</v>
      </c>
      <c r="D142" s="31" t="s">
        <v>147</v>
      </c>
      <c r="E142" s="31" t="s">
        <v>1791</v>
      </c>
      <c r="F142" s="66" t="s">
        <v>1638</v>
      </c>
      <c r="G142" s="66" t="s">
        <v>237</v>
      </c>
      <c r="H142" s="31">
        <v>640</v>
      </c>
      <c r="I142" s="31" t="s">
        <v>237</v>
      </c>
      <c r="J142" s="31" t="s">
        <v>573</v>
      </c>
      <c r="K142" s="31" t="s">
        <v>31</v>
      </c>
      <c r="L142" s="31" t="s">
        <v>31</v>
      </c>
      <c r="M142" s="31" t="s">
        <v>31</v>
      </c>
      <c r="Q142" s="31" t="s">
        <v>165</v>
      </c>
      <c r="T142" s="32">
        <v>17.149999999999999</v>
      </c>
      <c r="U142" s="32">
        <v>18.05</v>
      </c>
      <c r="V142" s="32">
        <v>13.01</v>
      </c>
      <c r="W142" s="32"/>
      <c r="X142" s="32">
        <v>10.34</v>
      </c>
      <c r="Y142" s="32"/>
      <c r="Z142" s="32"/>
      <c r="AA142" s="32">
        <v>19.7</v>
      </c>
      <c r="AB142" s="33">
        <f>AA142/6.25/100</f>
        <v>3.1519999999999999E-2</v>
      </c>
      <c r="AC142" s="32">
        <v>76.709999999999994</v>
      </c>
      <c r="AD142" s="32"/>
      <c r="AE142" s="31" t="s">
        <v>574</v>
      </c>
    </row>
    <row r="143" spans="1:33" s="28" customFormat="1" x14ac:dyDescent="0.25">
      <c r="A143" s="61" t="s">
        <v>575</v>
      </c>
      <c r="B143" s="28" t="s">
        <v>576</v>
      </c>
      <c r="D143" s="28" t="s">
        <v>147</v>
      </c>
      <c r="E143" s="28" t="s">
        <v>1789</v>
      </c>
      <c r="F143" s="69" t="s">
        <v>1639</v>
      </c>
      <c r="G143" s="69">
        <v>1212</v>
      </c>
      <c r="I143" s="28">
        <v>358</v>
      </c>
      <c r="T143" s="29"/>
      <c r="AB143" s="30"/>
    </row>
    <row r="144" spans="1:33" s="31" customFormat="1" x14ac:dyDescent="0.25">
      <c r="A144" s="36" t="s">
        <v>577</v>
      </c>
      <c r="B144" s="31" t="s">
        <v>578</v>
      </c>
      <c r="D144" s="31" t="s">
        <v>147</v>
      </c>
      <c r="E144" s="31" t="s">
        <v>1791</v>
      </c>
      <c r="F144" s="66" t="s">
        <v>1640</v>
      </c>
      <c r="G144" s="66">
        <v>1251</v>
      </c>
      <c r="H144" s="31">
        <v>646</v>
      </c>
      <c r="I144" s="31">
        <v>426</v>
      </c>
      <c r="J144" s="31" t="s">
        <v>579</v>
      </c>
      <c r="Q144" s="31" t="s">
        <v>165</v>
      </c>
      <c r="R144" s="31">
        <v>1.07</v>
      </c>
      <c r="S144" s="31">
        <v>1.54</v>
      </c>
      <c r="T144" s="32">
        <v>17.2</v>
      </c>
      <c r="U144" s="32">
        <v>16.5</v>
      </c>
      <c r="V144" s="32">
        <v>12.4</v>
      </c>
      <c r="W144" s="32"/>
      <c r="X144" s="32">
        <v>9.9</v>
      </c>
      <c r="Y144" s="32"/>
      <c r="Z144" s="32"/>
      <c r="AA144" s="32">
        <v>16.399999999999999</v>
      </c>
      <c r="AB144" s="33">
        <f>AA144/6.25/100</f>
        <v>2.6239999999999996E-2</v>
      </c>
      <c r="AC144" s="32">
        <v>74.900000000000006</v>
      </c>
      <c r="AD144" s="32"/>
      <c r="AE144" s="31" t="s">
        <v>580</v>
      </c>
    </row>
    <row r="145" spans="1:31" s="31" customFormat="1" x14ac:dyDescent="0.25">
      <c r="A145" s="36" t="s">
        <v>581</v>
      </c>
      <c r="B145" s="31" t="s">
        <v>582</v>
      </c>
      <c r="C145" s="31" t="s">
        <v>583</v>
      </c>
      <c r="D145" s="31" t="s">
        <v>147</v>
      </c>
      <c r="E145" s="31" t="s">
        <v>1791</v>
      </c>
      <c r="F145" s="66" t="s">
        <v>1641</v>
      </c>
      <c r="G145" s="66">
        <v>1801</v>
      </c>
      <c r="H145" s="31">
        <v>647</v>
      </c>
      <c r="I145" s="31">
        <v>157</v>
      </c>
      <c r="J145" s="31" t="s">
        <v>584</v>
      </c>
      <c r="K145" s="31" t="s">
        <v>31</v>
      </c>
      <c r="L145" s="31" t="s">
        <v>585</v>
      </c>
      <c r="M145" s="31" t="s">
        <v>31</v>
      </c>
      <c r="N145" s="31" t="s">
        <v>31</v>
      </c>
      <c r="P145" s="31" t="s">
        <v>32</v>
      </c>
      <c r="Q145" s="31" t="s">
        <v>165</v>
      </c>
      <c r="R145" s="31">
        <v>1.07</v>
      </c>
      <c r="S145" s="31">
        <v>1.54</v>
      </c>
      <c r="T145" s="32">
        <v>16.100000000000001</v>
      </c>
      <c r="U145" s="32">
        <v>16.2</v>
      </c>
      <c r="V145" s="32">
        <v>13.688999999999901</v>
      </c>
      <c r="W145" s="32">
        <v>13</v>
      </c>
      <c r="X145" s="32">
        <v>11.5</v>
      </c>
      <c r="Y145" s="32">
        <v>12.7</v>
      </c>
      <c r="Z145" s="32">
        <v>10.1</v>
      </c>
      <c r="AA145" s="32">
        <v>16.7</v>
      </c>
      <c r="AB145" s="33">
        <v>2.67199999999999E-2</v>
      </c>
      <c r="AC145" s="32">
        <v>68.900000000000006</v>
      </c>
      <c r="AD145" s="32">
        <v>67.3</v>
      </c>
      <c r="AE145" s="31" t="s">
        <v>586</v>
      </c>
    </row>
    <row r="146" spans="1:31" s="31" customFormat="1" x14ac:dyDescent="0.25">
      <c r="A146" s="36" t="s">
        <v>587</v>
      </c>
      <c r="B146" s="31" t="s">
        <v>588</v>
      </c>
      <c r="D146" s="31" t="s">
        <v>147</v>
      </c>
      <c r="E146" s="31" t="s">
        <v>1791</v>
      </c>
      <c r="F146" s="66" t="s">
        <v>1642</v>
      </c>
      <c r="G146" s="66">
        <v>1251</v>
      </c>
      <c r="H146" s="31" t="s">
        <v>237</v>
      </c>
      <c r="I146" s="31">
        <v>426</v>
      </c>
      <c r="J146" s="31" t="s">
        <v>216</v>
      </c>
      <c r="Q146" s="31" t="s">
        <v>39</v>
      </c>
      <c r="R146" s="31">
        <v>1.07</v>
      </c>
      <c r="S146" s="31">
        <v>1.54</v>
      </c>
      <c r="T146" s="32">
        <v>90</v>
      </c>
      <c r="U146" s="32">
        <v>17.7</v>
      </c>
      <c r="V146" s="32">
        <v>14.8</v>
      </c>
      <c r="W146" s="32">
        <v>13.3</v>
      </c>
      <c r="X146" s="32">
        <v>12.3</v>
      </c>
      <c r="Y146" s="32">
        <v>12.8</v>
      </c>
      <c r="Z146" s="32"/>
      <c r="AA146" s="32">
        <v>11.1</v>
      </c>
      <c r="AB146" s="33">
        <f>AA146/6.25/100</f>
        <v>1.7760000000000001E-2</v>
      </c>
      <c r="AC146" s="32"/>
      <c r="AD146" s="32"/>
      <c r="AE146" s="31" t="s">
        <v>217</v>
      </c>
    </row>
    <row r="147" spans="1:31" s="28" customFormat="1" x14ac:dyDescent="0.25">
      <c r="A147" s="61" t="s">
        <v>589</v>
      </c>
      <c r="B147" s="28" t="s">
        <v>590</v>
      </c>
      <c r="D147" s="28" t="s">
        <v>147</v>
      </c>
      <c r="E147" s="28" t="s">
        <v>1789</v>
      </c>
      <c r="F147" s="69" t="s">
        <v>1643</v>
      </c>
      <c r="G147" s="69"/>
      <c r="T147" s="29"/>
      <c r="U147" s="29"/>
      <c r="V147" s="29"/>
      <c r="W147" s="29"/>
      <c r="X147" s="29"/>
      <c r="Y147" s="29"/>
      <c r="Z147" s="29"/>
      <c r="AA147" s="29"/>
      <c r="AB147" s="30"/>
      <c r="AC147" s="29"/>
      <c r="AD147" s="29"/>
    </row>
    <row r="148" spans="1:31" s="31" customFormat="1" x14ac:dyDescent="0.25">
      <c r="A148" s="36" t="s">
        <v>591</v>
      </c>
      <c r="B148" s="31" t="s">
        <v>592</v>
      </c>
      <c r="C148" s="31" t="s">
        <v>593</v>
      </c>
      <c r="D148" s="31" t="s">
        <v>147</v>
      </c>
      <c r="E148" s="31" t="s">
        <v>1791</v>
      </c>
      <c r="F148" s="66" t="s">
        <v>1644</v>
      </c>
      <c r="G148" s="66" t="s">
        <v>1644</v>
      </c>
      <c r="H148" s="31">
        <v>857</v>
      </c>
      <c r="I148" s="31">
        <v>857</v>
      </c>
      <c r="J148" s="31" t="s">
        <v>594</v>
      </c>
      <c r="P148" s="31" t="s">
        <v>38</v>
      </c>
      <c r="Q148" s="31" t="s">
        <v>165</v>
      </c>
      <c r="T148" s="32">
        <v>89.9</v>
      </c>
      <c r="U148" s="32">
        <v>18.09</v>
      </c>
      <c r="V148" s="32">
        <v>10.18</v>
      </c>
      <c r="W148" s="32"/>
      <c r="X148" s="32">
        <v>8.2200000000000006</v>
      </c>
      <c r="Y148" s="32"/>
      <c r="Z148" s="32"/>
      <c r="AA148" s="32">
        <v>9.35</v>
      </c>
      <c r="AB148" s="33">
        <f>AA148/6.25/100</f>
        <v>1.4959999999999999E-2</v>
      </c>
      <c r="AC148" s="32">
        <v>47.65</v>
      </c>
      <c r="AD148" s="32"/>
      <c r="AE148" s="31" t="s">
        <v>595</v>
      </c>
    </row>
    <row r="149" spans="1:31" s="31" customFormat="1" x14ac:dyDescent="0.25">
      <c r="A149" s="36" t="s">
        <v>596</v>
      </c>
      <c r="B149" s="31" t="s">
        <v>597</v>
      </c>
      <c r="C149" s="31" t="s">
        <v>598</v>
      </c>
      <c r="D149" s="31" t="s">
        <v>147</v>
      </c>
      <c r="E149" s="31" t="s">
        <v>1791</v>
      </c>
      <c r="F149" s="66" t="s">
        <v>1644</v>
      </c>
      <c r="G149" s="66" t="s">
        <v>1644</v>
      </c>
      <c r="H149" s="31">
        <v>857</v>
      </c>
      <c r="I149" s="31">
        <v>857</v>
      </c>
      <c r="J149" s="31" t="s">
        <v>599</v>
      </c>
      <c r="P149" s="31" t="s">
        <v>38</v>
      </c>
      <c r="Q149" s="31" t="s">
        <v>165</v>
      </c>
      <c r="T149" s="32">
        <f>T148</f>
        <v>89.9</v>
      </c>
      <c r="U149" s="31">
        <f>U148</f>
        <v>18.09</v>
      </c>
      <c r="V149" s="31">
        <f>V148</f>
        <v>10.18</v>
      </c>
      <c r="X149" s="31">
        <f>X148</f>
        <v>8.2200000000000006</v>
      </c>
      <c r="AA149" s="31">
        <f>AA148</f>
        <v>9.35</v>
      </c>
      <c r="AB149" s="31">
        <f>AB148</f>
        <v>1.4959999999999999E-2</v>
      </c>
      <c r="AC149" s="31">
        <f>AC148</f>
        <v>47.65</v>
      </c>
      <c r="AE149" s="31" t="str">
        <f>AE148</f>
        <v>see sheet Hay grass non-leguminose</v>
      </c>
    </row>
    <row r="150" spans="1:31" s="31" customFormat="1" x14ac:dyDescent="0.25">
      <c r="A150" s="36" t="s">
        <v>600</v>
      </c>
      <c r="B150" s="31" t="s">
        <v>601</v>
      </c>
      <c r="C150" s="31" t="s">
        <v>602</v>
      </c>
      <c r="D150" s="31" t="s">
        <v>147</v>
      </c>
      <c r="E150" s="31" t="s">
        <v>1791</v>
      </c>
      <c r="F150" s="66" t="s">
        <v>1645</v>
      </c>
      <c r="G150" s="66" t="s">
        <v>237</v>
      </c>
      <c r="H150" s="31">
        <v>858</v>
      </c>
      <c r="I150" s="31" t="s">
        <v>237</v>
      </c>
      <c r="J150" s="31" t="s">
        <v>603</v>
      </c>
      <c r="Q150" s="31" t="s">
        <v>165</v>
      </c>
      <c r="R150" s="31">
        <f>R110</f>
        <v>1.1299999999999999</v>
      </c>
      <c r="S150" s="31">
        <f>S110</f>
        <v>0.85</v>
      </c>
      <c r="T150" s="32">
        <v>89.9</v>
      </c>
      <c r="U150" s="32">
        <v>18.36</v>
      </c>
      <c r="V150" s="32">
        <v>10.3</v>
      </c>
      <c r="W150" s="32"/>
      <c r="X150" s="32">
        <v>8.16</v>
      </c>
      <c r="Y150" s="32"/>
      <c r="Z150" s="32"/>
      <c r="AA150" s="32">
        <v>16.2</v>
      </c>
      <c r="AB150" s="33">
        <f>AA150/6.25/100</f>
        <v>2.5920000000000002E-2</v>
      </c>
      <c r="AC150" s="32">
        <v>73.739999999999995</v>
      </c>
      <c r="AD150" s="32"/>
      <c r="AE150" s="31" t="s">
        <v>604</v>
      </c>
    </row>
    <row r="151" spans="1:31" s="31" customFormat="1" x14ac:dyDescent="0.25">
      <c r="A151" s="36" t="s">
        <v>605</v>
      </c>
      <c r="B151" s="31" t="s">
        <v>606</v>
      </c>
      <c r="C151" s="31" t="s">
        <v>550</v>
      </c>
      <c r="D151" s="31" t="s">
        <v>147</v>
      </c>
      <c r="E151" s="31" t="s">
        <v>1791</v>
      </c>
      <c r="F151" s="66" t="s">
        <v>1646</v>
      </c>
      <c r="G151" s="66" t="s">
        <v>237</v>
      </c>
      <c r="H151" s="31">
        <v>859</v>
      </c>
      <c r="I151" s="31" t="s">
        <v>237</v>
      </c>
      <c r="J151" s="31" t="s">
        <v>607</v>
      </c>
      <c r="P151" s="31" t="s">
        <v>38</v>
      </c>
      <c r="T151" s="32">
        <f>AVERAGE(T137,T138,T148,T149,T150)</f>
        <v>66.16</v>
      </c>
      <c r="U151" s="32">
        <f>AVERAGE(U137,U138,U148,U149,U150)</f>
        <v>18.338000000000001</v>
      </c>
      <c r="V151" s="32">
        <f>AVERAGE(V137,V138,V148,V149,V150)</f>
        <v>10.99699999999998</v>
      </c>
      <c r="W151" s="32">
        <f>AVERAGE(W137,W138,W148,W149,W150)</f>
        <v>8</v>
      </c>
      <c r="X151" s="32">
        <f>AVERAGE(X137,X138,X148,X149,X150)</f>
        <v>8.8550000000000004</v>
      </c>
      <c r="Y151" s="32"/>
      <c r="Z151" s="32"/>
      <c r="AA151" s="32">
        <f>AVERAGE(AA137,AA138,AA148,AA149,AA150)</f>
        <v>12.245000000000001</v>
      </c>
      <c r="AB151" s="32">
        <f>AVERAGE(AB137,AB138,AB148,AB149,AB150)</f>
        <v>1.9592000000000002E-2</v>
      </c>
      <c r="AC151" s="32">
        <f>AVERAGE(AC137,AC138,AC148,AC149,AC150)</f>
        <v>59.727999999999994</v>
      </c>
      <c r="AD151" s="32"/>
      <c r="AE151" s="31" t="s">
        <v>608</v>
      </c>
    </row>
    <row r="152" spans="1:31" s="31" customFormat="1" x14ac:dyDescent="0.25">
      <c r="A152" s="36" t="s">
        <v>609</v>
      </c>
      <c r="B152" s="31" t="s">
        <v>610</v>
      </c>
      <c r="C152" s="31" t="s">
        <v>28</v>
      </c>
      <c r="D152" s="31" t="s">
        <v>29</v>
      </c>
      <c r="E152" s="31" t="s">
        <v>1791</v>
      </c>
      <c r="F152" s="66" t="s">
        <v>1647</v>
      </c>
      <c r="G152" s="66" t="s">
        <v>237</v>
      </c>
      <c r="H152" s="31">
        <v>639</v>
      </c>
      <c r="I152" s="31" t="s">
        <v>237</v>
      </c>
      <c r="J152" s="31" t="s">
        <v>611</v>
      </c>
      <c r="K152" s="31" t="s">
        <v>31</v>
      </c>
      <c r="L152" s="31" t="s">
        <v>31</v>
      </c>
      <c r="M152" s="31" t="s">
        <v>31</v>
      </c>
      <c r="P152" s="31" t="s">
        <v>612</v>
      </c>
      <c r="Q152" s="31" t="s">
        <v>165</v>
      </c>
      <c r="T152" s="32">
        <v>24.31</v>
      </c>
      <c r="U152" s="32">
        <v>17.98</v>
      </c>
      <c r="V152" s="32">
        <v>11.11</v>
      </c>
      <c r="W152" s="32"/>
      <c r="X152" s="32">
        <v>8.91</v>
      </c>
      <c r="Y152" s="32"/>
      <c r="Z152" s="32"/>
      <c r="AA152" s="32">
        <v>11</v>
      </c>
      <c r="AB152" s="33">
        <f>AA152/6.25/100</f>
        <v>1.7600000000000001E-2</v>
      </c>
      <c r="AC152" s="32">
        <v>58.45</v>
      </c>
      <c r="AD152" s="32"/>
      <c r="AE152" s="31" t="s">
        <v>613</v>
      </c>
    </row>
    <row r="153" spans="1:31" s="31" customFormat="1" x14ac:dyDescent="0.25">
      <c r="A153" s="36" t="s">
        <v>614</v>
      </c>
      <c r="B153" s="31" t="s">
        <v>615</v>
      </c>
      <c r="C153" s="31" t="s">
        <v>616</v>
      </c>
      <c r="D153" s="31" t="s">
        <v>147</v>
      </c>
      <c r="E153" s="31" t="s">
        <v>1791</v>
      </c>
      <c r="F153" s="66" t="s">
        <v>1648</v>
      </c>
      <c r="G153" s="66" t="s">
        <v>237</v>
      </c>
      <c r="H153" s="31">
        <v>643</v>
      </c>
      <c r="I153" s="31" t="s">
        <v>237</v>
      </c>
      <c r="Q153" s="31" t="s">
        <v>165</v>
      </c>
      <c r="T153" s="32">
        <v>21.71</v>
      </c>
      <c r="U153" s="32">
        <v>18.55</v>
      </c>
      <c r="V153" s="32">
        <v>12.68</v>
      </c>
      <c r="W153" s="32"/>
      <c r="X153" s="32">
        <v>10.050000000000001</v>
      </c>
      <c r="Y153" s="32"/>
      <c r="Z153" s="32"/>
      <c r="AA153" s="32">
        <v>20.22</v>
      </c>
      <c r="AB153" s="33">
        <f>AA153/6.25/100</f>
        <v>3.2351999999999999E-2</v>
      </c>
      <c r="AC153" s="32">
        <v>68.45</v>
      </c>
      <c r="AD153" s="32"/>
      <c r="AE153" s="31" t="s">
        <v>617</v>
      </c>
    </row>
    <row r="154" spans="1:31" s="31" customFormat="1" x14ac:dyDescent="0.25">
      <c r="A154" s="36" t="s">
        <v>618</v>
      </c>
      <c r="B154" s="31" t="s">
        <v>619</v>
      </c>
      <c r="C154" s="31" t="s">
        <v>616</v>
      </c>
      <c r="D154" s="31" t="s">
        <v>147</v>
      </c>
      <c r="E154" s="31" t="s">
        <v>1791</v>
      </c>
      <c r="F154" s="66" t="s">
        <v>1649</v>
      </c>
      <c r="G154" s="66"/>
      <c r="J154" s="31" t="s">
        <v>620</v>
      </c>
      <c r="P154" s="31" t="s">
        <v>38</v>
      </c>
      <c r="Q154" s="31" t="s">
        <v>165</v>
      </c>
      <c r="T154" s="32">
        <f>AVERAGE(T153,T2)</f>
        <v>21.1325</v>
      </c>
      <c r="U154" s="31">
        <f t="shared" ref="U154:AD154" si="8">AVERAGE(U153,U2)</f>
        <v>18.625</v>
      </c>
      <c r="V154" s="31">
        <f t="shared" si="8"/>
        <v>12.7354</v>
      </c>
      <c r="W154" s="31">
        <f t="shared" si="8"/>
        <v>7.8999999999999995</v>
      </c>
      <c r="X154" s="31">
        <f t="shared" si="8"/>
        <v>10.375</v>
      </c>
      <c r="Y154" s="31">
        <f t="shared" si="8"/>
        <v>7.25</v>
      </c>
      <c r="Z154" s="31">
        <f t="shared" si="8"/>
        <v>5.65</v>
      </c>
      <c r="AA154" s="31">
        <f t="shared" si="8"/>
        <v>18.21</v>
      </c>
      <c r="AB154" s="31">
        <f t="shared" si="8"/>
        <v>2.9136000000000002E-2</v>
      </c>
      <c r="AC154" s="31">
        <f t="shared" si="8"/>
        <v>69.875</v>
      </c>
      <c r="AD154" s="31">
        <f t="shared" si="8"/>
        <v>52.4</v>
      </c>
      <c r="AE154" s="31" t="s">
        <v>1603</v>
      </c>
    </row>
    <row r="155" spans="1:31" s="31" customFormat="1" x14ac:dyDescent="0.25">
      <c r="A155" s="36" t="s">
        <v>621</v>
      </c>
      <c r="B155" s="31" t="s">
        <v>622</v>
      </c>
      <c r="D155" s="31" t="s">
        <v>147</v>
      </c>
      <c r="E155" s="31" t="s">
        <v>1791</v>
      </c>
      <c r="F155" s="66" t="s">
        <v>1650</v>
      </c>
      <c r="G155" s="66"/>
      <c r="T155" s="32">
        <v>15.8</v>
      </c>
      <c r="U155" s="32">
        <v>17.3</v>
      </c>
      <c r="V155" s="32">
        <v>11</v>
      </c>
      <c r="W155" s="32"/>
      <c r="X155" s="32">
        <v>8.9</v>
      </c>
      <c r="Y155" s="32"/>
      <c r="Z155" s="32"/>
      <c r="AA155" s="32">
        <v>13</v>
      </c>
      <c r="AB155" s="41">
        <f>AA155/6.25/100</f>
        <v>2.0799999999999999E-2</v>
      </c>
      <c r="AC155" s="32"/>
      <c r="AD155" s="32">
        <v>70.3</v>
      </c>
      <c r="AE155" s="54" t="s">
        <v>1801</v>
      </c>
    </row>
    <row r="156" spans="1:31" s="31" customFormat="1" x14ac:dyDescent="0.25">
      <c r="A156" s="36" t="s">
        <v>623</v>
      </c>
      <c r="B156" s="31" t="s">
        <v>624</v>
      </c>
      <c r="D156" s="31" t="s">
        <v>147</v>
      </c>
      <c r="E156" s="31" t="s">
        <v>1791</v>
      </c>
      <c r="F156" s="66" t="s">
        <v>1651</v>
      </c>
      <c r="G156" s="66"/>
      <c r="H156" s="31">
        <v>655</v>
      </c>
      <c r="I156" s="31" t="s">
        <v>237</v>
      </c>
      <c r="J156" s="31" t="s">
        <v>625</v>
      </c>
      <c r="T156" s="32">
        <f t="shared" ref="T156:AD156" si="9">AVERAGE(T144,T145,T146)</f>
        <v>41.1</v>
      </c>
      <c r="U156" s="32">
        <f t="shared" si="9"/>
        <v>16.8</v>
      </c>
      <c r="V156" s="32">
        <f t="shared" si="9"/>
        <v>13.629666666666632</v>
      </c>
      <c r="W156" s="32">
        <f t="shared" si="9"/>
        <v>13.15</v>
      </c>
      <c r="X156" s="32">
        <f t="shared" si="9"/>
        <v>11.233333333333334</v>
      </c>
      <c r="Y156" s="32">
        <f t="shared" si="9"/>
        <v>12.75</v>
      </c>
      <c r="Z156" s="32">
        <f t="shared" si="9"/>
        <v>10.1</v>
      </c>
      <c r="AA156" s="32">
        <f t="shared" si="9"/>
        <v>14.733333333333333</v>
      </c>
      <c r="AB156" s="32">
        <f t="shared" si="9"/>
        <v>2.3573333333333297E-2</v>
      </c>
      <c r="AC156" s="32">
        <f t="shared" si="9"/>
        <v>71.900000000000006</v>
      </c>
      <c r="AD156" s="32">
        <f t="shared" si="9"/>
        <v>67.3</v>
      </c>
      <c r="AE156" s="31" t="s">
        <v>626</v>
      </c>
    </row>
    <row r="157" spans="1:31" s="31" customFormat="1" x14ac:dyDescent="0.25">
      <c r="A157" s="36" t="s">
        <v>627</v>
      </c>
      <c r="B157" s="31" t="s">
        <v>628</v>
      </c>
      <c r="D157" s="31" t="s">
        <v>147</v>
      </c>
      <c r="E157" s="31" t="s">
        <v>1791</v>
      </c>
      <c r="F157" s="66" t="s">
        <v>1652</v>
      </c>
      <c r="G157" s="66"/>
      <c r="H157" s="31">
        <v>651</v>
      </c>
      <c r="I157" s="31" t="s">
        <v>237</v>
      </c>
      <c r="T157" s="32">
        <f t="shared" ref="T157:AD157" si="10">AVERAGE(T137,T138,T140,T141,T142,T143,T144,T145,T146,T147,T148,T149,T150)</f>
        <v>48.804999999999993</v>
      </c>
      <c r="U157" s="32">
        <f t="shared" si="10"/>
        <v>17.794</v>
      </c>
      <c r="V157" s="32">
        <f t="shared" si="10"/>
        <v>12.078399999999981</v>
      </c>
      <c r="W157" s="32">
        <f t="shared" si="10"/>
        <v>11.433333333333332</v>
      </c>
      <c r="X157" s="32">
        <f t="shared" si="10"/>
        <v>9.7814999999999994</v>
      </c>
      <c r="Y157" s="32">
        <f t="shared" si="10"/>
        <v>12.75</v>
      </c>
      <c r="Z157" s="32">
        <f t="shared" si="10"/>
        <v>10.1</v>
      </c>
      <c r="AA157" s="32">
        <f t="shared" si="10"/>
        <v>14.022499999999999</v>
      </c>
      <c r="AB157" s="32">
        <f t="shared" si="10"/>
        <v>2.2244444444444435E-2</v>
      </c>
      <c r="AC157" s="32">
        <f t="shared" si="10"/>
        <v>65.649999999999991</v>
      </c>
      <c r="AD157" s="32">
        <f t="shared" si="10"/>
        <v>67.3</v>
      </c>
      <c r="AE157" s="31" t="s">
        <v>629</v>
      </c>
    </row>
    <row r="158" spans="1:31" s="28" customFormat="1" x14ac:dyDescent="0.25">
      <c r="A158" s="61" t="s">
        <v>630</v>
      </c>
      <c r="B158" s="28" t="s">
        <v>631</v>
      </c>
      <c r="D158" s="28" t="s">
        <v>321</v>
      </c>
      <c r="E158" s="28" t="s">
        <v>1789</v>
      </c>
      <c r="F158" s="69" t="s">
        <v>1653</v>
      </c>
      <c r="G158" s="69"/>
      <c r="T158" s="29"/>
      <c r="U158" s="29"/>
      <c r="V158" s="29"/>
      <c r="W158" s="29"/>
      <c r="X158" s="29"/>
      <c r="Y158" s="29"/>
      <c r="Z158" s="29"/>
      <c r="AA158" s="29"/>
      <c r="AB158" s="30"/>
      <c r="AC158" s="29"/>
      <c r="AD158" s="29"/>
    </row>
    <row r="159" spans="1:31" s="28" customFormat="1" x14ac:dyDescent="0.25">
      <c r="A159" s="61" t="s">
        <v>632</v>
      </c>
      <c r="B159" s="28" t="s">
        <v>633</v>
      </c>
      <c r="D159" s="28" t="s">
        <v>152</v>
      </c>
      <c r="E159" s="28" t="s">
        <v>1789</v>
      </c>
      <c r="F159" s="69" t="s">
        <v>1654</v>
      </c>
      <c r="G159" s="69"/>
      <c r="T159" s="29"/>
      <c r="U159" s="29"/>
      <c r="V159" s="29"/>
      <c r="W159" s="29"/>
      <c r="X159" s="29"/>
      <c r="Y159" s="29"/>
      <c r="Z159" s="29"/>
      <c r="AA159" s="29"/>
      <c r="AB159" s="30"/>
      <c r="AC159" s="29"/>
      <c r="AD159" s="29"/>
    </row>
    <row r="160" spans="1:31" s="28" customFormat="1" x14ac:dyDescent="0.25">
      <c r="A160" s="61" t="s">
        <v>634</v>
      </c>
      <c r="B160" s="28" t="s">
        <v>635</v>
      </c>
      <c r="D160" s="28" t="s">
        <v>152</v>
      </c>
      <c r="E160" s="28" t="s">
        <v>1789</v>
      </c>
      <c r="F160" s="69" t="s">
        <v>1655</v>
      </c>
      <c r="G160" s="69"/>
      <c r="T160" s="29"/>
      <c r="U160" s="29"/>
      <c r="V160" s="29"/>
      <c r="W160" s="29"/>
      <c r="X160" s="29"/>
      <c r="Y160" s="29"/>
      <c r="Z160" s="29"/>
      <c r="AA160" s="29"/>
      <c r="AB160" s="30"/>
      <c r="AC160" s="29"/>
      <c r="AD160" s="29"/>
    </row>
    <row r="161" spans="1:31" s="77" customFormat="1" x14ac:dyDescent="0.25">
      <c r="A161" s="76" t="s">
        <v>636</v>
      </c>
      <c r="B161" s="77" t="s">
        <v>637</v>
      </c>
      <c r="D161" s="77" t="s">
        <v>638</v>
      </c>
      <c r="E161" s="77" t="s">
        <v>1791</v>
      </c>
      <c r="F161" s="78">
        <v>2211</v>
      </c>
      <c r="G161" s="78"/>
      <c r="J161" s="77" t="s">
        <v>637</v>
      </c>
      <c r="K161" s="77" t="s">
        <v>31</v>
      </c>
      <c r="T161" s="79">
        <f>Milk_composition!B2</f>
        <v>12.200000000000003</v>
      </c>
      <c r="U161" s="79">
        <f>Milk_composition!C2</f>
        <v>21.94885245901639</v>
      </c>
      <c r="V161" s="79">
        <f>Milk_composition!F2</f>
        <v>21.290386885245898</v>
      </c>
      <c r="W161" s="79"/>
      <c r="X161" s="79">
        <f>Milk_composition!D2</f>
        <v>20.438771409836061</v>
      </c>
      <c r="Y161" s="79"/>
      <c r="Z161" s="79"/>
      <c r="AA161" s="79">
        <f>AB161*6.38*100</f>
        <v>26.229508196721309</v>
      </c>
      <c r="AB161" s="84">
        <f>Milk_composition!H2/100</f>
        <v>4.1112081813042801E-2</v>
      </c>
      <c r="AC161" s="79"/>
      <c r="AD161" s="79"/>
      <c r="AE161" s="77" t="str">
        <f>Milk_composition!I2</f>
        <v>Nayak, C., C. T. Ramachandra, and G. Kumar. "A Comprehensive Review on Composition of Donkey Milk in Comparison to Human, Cow, Buffalo, Sheep, Goat, Camel and Horse Milk." Mysore Journal of Agricultural Sciences 54, no. 3 (2020). | GE=value in kcal*conversion factor from kcal to MJ of 0.004184 | From GE to DE=0.97; From DE to ME=0.96 (Calculated from National Research Council, Committee on Animal Nutrition, &amp; Subcommittee on Dairy Cattle Nutrition. (2001). Nutrient requirements of dairy cattle: 2001. National Academies Press.)</v>
      </c>
    </row>
    <row r="162" spans="1:31" s="77" customFormat="1" x14ac:dyDescent="0.25">
      <c r="A162" s="76" t="s">
        <v>639</v>
      </c>
      <c r="B162" s="77" t="s">
        <v>640</v>
      </c>
      <c r="D162" s="77" t="s">
        <v>638</v>
      </c>
      <c r="E162" s="77" t="s">
        <v>1791</v>
      </c>
      <c r="F162" s="78">
        <v>2212</v>
      </c>
      <c r="G162" s="78"/>
      <c r="J162" s="77" t="s">
        <v>640</v>
      </c>
      <c r="T162" s="79">
        <f>Milk_composition!B3</f>
        <v>17.599999999999994</v>
      </c>
      <c r="U162" s="79">
        <f>Milk_composition!C3</f>
        <v>24.319500000000009</v>
      </c>
      <c r="V162" s="79">
        <f>Milk_composition!F3</f>
        <v>23.589915000000008</v>
      </c>
      <c r="W162" s="79"/>
      <c r="X162" s="79">
        <f>Milk_composition!D3</f>
        <v>22.646318400000006</v>
      </c>
      <c r="Y162" s="79"/>
      <c r="Z162" s="79"/>
      <c r="AA162" s="79">
        <f t="shared" ref="AA162:AA165" si="11">AB162*6.38*100</f>
        <v>28.409090909090924</v>
      </c>
      <c r="AB162" s="84">
        <f>Milk_composition!H3/100</f>
        <v>4.4528355656882325E-2</v>
      </c>
      <c r="AC162" s="79"/>
      <c r="AD162" s="79"/>
      <c r="AE162" s="77" t="str">
        <f>Milk_composition!I3</f>
        <v>Nayak, C., C. T. Ramachandra, and G. Kumar. "A Comprehensive Review on Composition of Donkey Milk in Comparison to Human, Cow, Buffalo, Sheep, Goat, Camel and Horse Milk." Mysore Journal of Agricultural Sciences 54, no. 3 (2020). | GE=value in kcal*conversion factor from kcal to MJ of 0.004184 | From GE to DE=0.97; From DE to ME=0.96 (Calculated from National Research Council, Committee on Animal Nutrition, &amp; Subcommittee on Dairy Cattle Nutrition. (2001). Nutrient requirements of dairy cattle: 2001. National Academies Press.)</v>
      </c>
    </row>
    <row r="163" spans="1:31" s="77" customFormat="1" x14ac:dyDescent="0.25">
      <c r="A163" s="76" t="s">
        <v>641</v>
      </c>
      <c r="B163" s="77" t="s">
        <v>642</v>
      </c>
      <c r="D163" s="77" t="s">
        <v>638</v>
      </c>
      <c r="E163" s="77" t="s">
        <v>1791</v>
      </c>
      <c r="F163" s="78">
        <v>2291</v>
      </c>
      <c r="G163" s="78"/>
      <c r="J163" s="77" t="s">
        <v>642</v>
      </c>
      <c r="L163" s="77" t="s">
        <v>31</v>
      </c>
      <c r="T163" s="79">
        <f>Milk_composition!B4</f>
        <v>18.400000000000006</v>
      </c>
      <c r="U163" s="79">
        <f>Milk_composition!C4</f>
        <v>20.419739130434778</v>
      </c>
      <c r="V163" s="79">
        <f>Milk_composition!F4</f>
        <v>19.807146956521734</v>
      </c>
      <c r="W163" s="79"/>
      <c r="X163" s="79">
        <f>Milk_composition!D4</f>
        <v>19.014861078260864</v>
      </c>
      <c r="Y163" s="79"/>
      <c r="Z163" s="79"/>
      <c r="AA163" s="79">
        <f t="shared" si="11"/>
        <v>30.978260869565204</v>
      </c>
      <c r="AB163" s="84">
        <f>Milk_composition!H4/100</f>
        <v>4.8555267820635122E-2</v>
      </c>
      <c r="AC163" s="79"/>
      <c r="AD163" s="79"/>
      <c r="AE163" s="77" t="str">
        <f>Milk_composition!I4</f>
        <v>Nayak, C., C. T. Ramachandra, and G. Kumar. "A Comprehensive Review on Composition of Donkey Milk in Comparison to Human, Cow, Buffalo, Sheep, Goat, Camel and Horse Milk." Mysore Journal of Agricultural Sciences 54, no. 3 (2020). | GE=value in kcal*conversion factor from kcal to MJ of 0.004184 | From GE to DE=0.97; From DE to ME=0.96 (Calculated from National Research Council, Committee on Animal Nutrition, &amp; Subcommittee on Dairy Cattle Nutrition. (2001). Nutrient requirements of dairy cattle: 2001. National Academies Press.)</v>
      </c>
    </row>
    <row r="164" spans="1:31" s="77" customFormat="1" x14ac:dyDescent="0.25">
      <c r="A164" s="76" t="s">
        <v>643</v>
      </c>
      <c r="B164" s="77" t="s">
        <v>644</v>
      </c>
      <c r="D164" s="77" t="s">
        <v>638</v>
      </c>
      <c r="E164" s="77" t="s">
        <v>1791</v>
      </c>
      <c r="F164" s="78">
        <v>2292</v>
      </c>
      <c r="G164" s="78"/>
      <c r="J164" s="77" t="s">
        <v>644</v>
      </c>
      <c r="M164" s="77" t="s">
        <v>31</v>
      </c>
      <c r="T164" s="79">
        <f>Milk_composition!B5</f>
        <v>12.200000000000003</v>
      </c>
      <c r="U164" s="79">
        <f>Milk_composition!C5</f>
        <v>21.94885245901639</v>
      </c>
      <c r="V164" s="79">
        <f>Milk_composition!F5</f>
        <v>21.290386885245898</v>
      </c>
      <c r="W164" s="79"/>
      <c r="X164" s="79">
        <f>Milk_composition!D5</f>
        <v>20.438771409836061</v>
      </c>
      <c r="Y164" s="79"/>
      <c r="Z164" s="79"/>
      <c r="AA164" s="79">
        <f t="shared" si="11"/>
        <v>26.229508196721309</v>
      </c>
      <c r="AB164" s="84">
        <f>Milk_composition!H5/100</f>
        <v>4.1112081813042801E-2</v>
      </c>
      <c r="AC164" s="79"/>
      <c r="AD164" s="79"/>
      <c r="AE164" s="77" t="str">
        <f>Milk_composition!I5</f>
        <v>Nayak, C., C. T. Ramachandra, and G. Kumar. "A Comprehensive Review on Composition of Donkey Milk in Comparison to Human, Cow, Buffalo, Sheep, Goat, Camel and Horse Milk." Mysore Journal of Agricultural Sciences 54, no. 3 (2020). | GE=value in kcal*conversion factor from kcal to MJ of 0.004184 | From GE to DE=0.97; From DE to ME=0.96 (Calculated from National Research Council, Committee on Animal Nutrition, &amp; Subcommittee on Dairy Cattle Nutrition. (2001). Nutrient requirements of dairy cattle: 2001. National Academies Press.)</v>
      </c>
    </row>
    <row r="165" spans="1:31" s="77" customFormat="1" x14ac:dyDescent="0.25">
      <c r="A165" s="76" t="s">
        <v>645</v>
      </c>
      <c r="B165" s="77" t="s">
        <v>646</v>
      </c>
      <c r="D165" s="77" t="s">
        <v>638</v>
      </c>
      <c r="E165" s="77" t="s">
        <v>1791</v>
      </c>
      <c r="F165" s="78">
        <v>2293</v>
      </c>
      <c r="G165" s="78"/>
      <c r="J165" s="77" t="s">
        <v>646</v>
      </c>
      <c r="T165" s="79">
        <f>Milk_composition!B6</f>
        <v>11.560000000000002</v>
      </c>
      <c r="U165" s="79">
        <f>Milk_composition!C6</f>
        <v>22.222975778546708</v>
      </c>
      <c r="V165" s="79">
        <f>Milk_composition!F6</f>
        <v>21.556286505190307</v>
      </c>
      <c r="W165" s="79"/>
      <c r="X165" s="79">
        <f>Milk_composition!D6</f>
        <v>20.694035044982694</v>
      </c>
      <c r="Y165" s="79"/>
      <c r="Z165" s="79"/>
      <c r="AA165" s="79">
        <f t="shared" si="11"/>
        <v>25.51903114186851</v>
      </c>
      <c r="AB165" s="84">
        <f>Milk_composition!H6/100</f>
        <v>3.9998481413587007E-2</v>
      </c>
      <c r="AC165" s="79"/>
      <c r="AD165" s="79"/>
      <c r="AE165" s="77" t="str">
        <f>Milk_composition!I6</f>
        <v>Nayak, C., C. T. Ramachandra, and G. Kumar. "A Comprehensive Review on Composition of Donkey Milk in Comparison to Human, Cow, Buffalo, Sheep, Goat, Camel and Horse Milk." Mysore Journal of Agricultural Sciences 54, no. 3 (2020). | GE=value in kcal*conversion factor from kcal to MJ of 0.004184 | From GE to DE=0.97; From DE to ME=0.96 (Calculated from National Research Council, Committee on Animal Nutrition, &amp; Subcommittee on Dairy Cattle Nutrition. (2001). Nutrient requirements of dairy cattle: 2001. National Academies Press.)</v>
      </c>
    </row>
    <row r="166" spans="1:31" s="28" customFormat="1" x14ac:dyDescent="0.25">
      <c r="A166" s="61" t="s">
        <v>647</v>
      </c>
      <c r="B166" s="28" t="s">
        <v>648</v>
      </c>
      <c r="D166" s="28" t="s">
        <v>638</v>
      </c>
      <c r="E166" s="28" t="s">
        <v>1789</v>
      </c>
      <c r="F166" s="69">
        <v>231</v>
      </c>
      <c r="G166" s="69"/>
      <c r="T166" s="29"/>
      <c r="U166" s="29"/>
      <c r="V166" s="29"/>
      <c r="W166" s="29"/>
      <c r="X166" s="29"/>
      <c r="Y166" s="29"/>
      <c r="Z166" s="29"/>
      <c r="AA166" s="29"/>
      <c r="AB166" s="30"/>
      <c r="AC166" s="29"/>
      <c r="AD166" s="29"/>
    </row>
    <row r="167" spans="1:31" s="28" customFormat="1" x14ac:dyDescent="0.25">
      <c r="A167" s="61" t="s">
        <v>649</v>
      </c>
      <c r="B167" s="28" t="s">
        <v>650</v>
      </c>
      <c r="D167" s="28" t="s">
        <v>638</v>
      </c>
      <c r="E167" s="28" t="s">
        <v>1789</v>
      </c>
      <c r="F167" s="69">
        <v>232</v>
      </c>
      <c r="G167" s="69"/>
      <c r="T167" s="29"/>
      <c r="U167" s="29"/>
      <c r="V167" s="29"/>
      <c r="W167" s="29"/>
      <c r="X167" s="29"/>
      <c r="Y167" s="29"/>
      <c r="Z167" s="29"/>
      <c r="AA167" s="29"/>
      <c r="AB167" s="30"/>
      <c r="AC167" s="29"/>
      <c r="AD167" s="29"/>
    </row>
    <row r="168" spans="1:31" s="28" customFormat="1" x14ac:dyDescent="0.25">
      <c r="A168" s="61" t="s">
        <v>651</v>
      </c>
      <c r="B168" s="28" t="s">
        <v>652</v>
      </c>
      <c r="D168" s="28" t="s">
        <v>638</v>
      </c>
      <c r="E168" s="28" t="s">
        <v>1789</v>
      </c>
      <c r="F168" s="69">
        <v>2910</v>
      </c>
      <c r="G168" s="69"/>
      <c r="T168" s="29"/>
      <c r="U168" s="29"/>
      <c r="V168" s="29"/>
      <c r="W168" s="29"/>
      <c r="X168" s="29"/>
      <c r="Y168" s="29"/>
      <c r="Z168" s="29"/>
      <c r="AA168" s="29"/>
      <c r="AB168" s="30"/>
      <c r="AC168" s="29"/>
      <c r="AD168" s="29"/>
    </row>
    <row r="169" spans="1:31" s="28" customFormat="1" x14ac:dyDescent="0.25">
      <c r="A169" s="61" t="s">
        <v>653</v>
      </c>
      <c r="B169" s="28" t="s">
        <v>654</v>
      </c>
      <c r="D169" s="28" t="s">
        <v>638</v>
      </c>
      <c r="E169" s="28" t="s">
        <v>1789</v>
      </c>
      <c r="F169" s="69" t="s">
        <v>1656</v>
      </c>
      <c r="G169" s="69"/>
      <c r="T169" s="29"/>
      <c r="U169" s="29"/>
      <c r="V169" s="29"/>
      <c r="W169" s="29"/>
      <c r="X169" s="29"/>
      <c r="Y169" s="29"/>
      <c r="Z169" s="29"/>
      <c r="AA169" s="29"/>
      <c r="AB169" s="30"/>
      <c r="AC169" s="29"/>
      <c r="AD169" s="29"/>
    </row>
    <row r="170" spans="1:31" s="28" customFormat="1" x14ac:dyDescent="0.25">
      <c r="A170" s="61" t="s">
        <v>655</v>
      </c>
      <c r="B170" s="28" t="s">
        <v>656</v>
      </c>
      <c r="D170" s="28" t="s">
        <v>638</v>
      </c>
      <c r="E170" s="28" t="s">
        <v>1789</v>
      </c>
      <c r="F170" s="69" t="s">
        <v>1657</v>
      </c>
      <c r="G170" s="69"/>
      <c r="T170" s="29"/>
      <c r="U170" s="29"/>
      <c r="V170" s="29"/>
      <c r="W170" s="29"/>
      <c r="X170" s="29"/>
      <c r="Y170" s="29"/>
      <c r="Z170" s="29"/>
      <c r="AA170" s="29"/>
      <c r="AB170" s="30"/>
      <c r="AC170" s="29"/>
      <c r="AD170" s="29"/>
    </row>
    <row r="171" spans="1:31" s="28" customFormat="1" x14ac:dyDescent="0.25">
      <c r="A171" s="61" t="s">
        <v>657</v>
      </c>
      <c r="B171" s="28" t="s">
        <v>658</v>
      </c>
      <c r="D171" s="28" t="s">
        <v>638</v>
      </c>
      <c r="E171" s="28" t="s">
        <v>1789</v>
      </c>
      <c r="F171" s="69" t="s">
        <v>1658</v>
      </c>
      <c r="G171" s="69"/>
      <c r="T171" s="29"/>
      <c r="U171" s="29"/>
      <c r="V171" s="29"/>
      <c r="W171" s="29"/>
      <c r="X171" s="29"/>
      <c r="Y171" s="29"/>
      <c r="Z171" s="29"/>
      <c r="AA171" s="29"/>
      <c r="AB171" s="30"/>
      <c r="AC171" s="29"/>
      <c r="AD171" s="29"/>
    </row>
    <row r="172" spans="1:31" s="28" customFormat="1" x14ac:dyDescent="0.25">
      <c r="A172" s="61" t="s">
        <v>659</v>
      </c>
      <c r="B172" s="28" t="s">
        <v>660</v>
      </c>
      <c r="D172" s="28" t="s">
        <v>638</v>
      </c>
      <c r="E172" s="28" t="s">
        <v>1789</v>
      </c>
      <c r="F172" s="69" t="s">
        <v>1659</v>
      </c>
      <c r="G172" s="69"/>
      <c r="T172" s="29"/>
      <c r="U172" s="29"/>
      <c r="V172" s="29"/>
      <c r="W172" s="29"/>
      <c r="X172" s="29"/>
      <c r="Y172" s="29"/>
      <c r="Z172" s="29"/>
      <c r="AA172" s="29"/>
      <c r="AB172" s="30"/>
      <c r="AC172" s="29"/>
      <c r="AD172" s="29"/>
    </row>
    <row r="173" spans="1:31" s="28" customFormat="1" x14ac:dyDescent="0.25">
      <c r="A173" s="61" t="s">
        <v>661</v>
      </c>
      <c r="B173" s="28" t="s">
        <v>662</v>
      </c>
      <c r="D173" s="28" t="s">
        <v>638</v>
      </c>
      <c r="E173" s="28" t="s">
        <v>1789</v>
      </c>
      <c r="F173" s="69">
        <v>21116</v>
      </c>
      <c r="G173" s="69"/>
      <c r="T173" s="29"/>
      <c r="U173" s="29"/>
      <c r="V173" s="29"/>
      <c r="W173" s="29"/>
      <c r="X173" s="29"/>
      <c r="Y173" s="29"/>
      <c r="Z173" s="29"/>
      <c r="AA173" s="29"/>
      <c r="AB173" s="30"/>
      <c r="AC173" s="29"/>
      <c r="AD173" s="29"/>
    </row>
    <row r="174" spans="1:31" s="28" customFormat="1" x14ac:dyDescent="0.25">
      <c r="A174" s="61" t="s">
        <v>663</v>
      </c>
      <c r="B174" s="28" t="s">
        <v>664</v>
      </c>
      <c r="D174" s="28" t="s">
        <v>638</v>
      </c>
      <c r="E174" s="28" t="s">
        <v>1789</v>
      </c>
      <c r="F174" s="69" t="s">
        <v>1660</v>
      </c>
      <c r="G174" s="69"/>
      <c r="T174" s="29"/>
      <c r="U174" s="29"/>
      <c r="V174" s="29"/>
      <c r="W174" s="29"/>
      <c r="X174" s="29"/>
      <c r="Y174" s="29"/>
      <c r="Z174" s="29"/>
      <c r="AA174" s="29"/>
      <c r="AB174" s="30"/>
      <c r="AC174" s="29"/>
      <c r="AD174" s="29"/>
    </row>
    <row r="175" spans="1:31" s="28" customFormat="1" x14ac:dyDescent="0.25">
      <c r="A175" s="61" t="s">
        <v>665</v>
      </c>
      <c r="B175" s="28" t="s">
        <v>666</v>
      </c>
      <c r="D175" s="28" t="s">
        <v>638</v>
      </c>
      <c r="E175" s="28" t="s">
        <v>1789</v>
      </c>
      <c r="F175" s="69" t="s">
        <v>1661</v>
      </c>
      <c r="G175" s="69"/>
      <c r="T175" s="29"/>
      <c r="U175" s="29"/>
      <c r="V175" s="29"/>
      <c r="W175" s="29"/>
      <c r="X175" s="29"/>
      <c r="Y175" s="29"/>
      <c r="Z175" s="29"/>
      <c r="AA175" s="29"/>
      <c r="AB175" s="30"/>
      <c r="AC175" s="29"/>
      <c r="AD175" s="29"/>
    </row>
    <row r="176" spans="1:31" s="28" customFormat="1" x14ac:dyDescent="0.25">
      <c r="A176" s="61" t="s">
        <v>667</v>
      </c>
      <c r="B176" s="28" t="s">
        <v>668</v>
      </c>
      <c r="D176" s="28" t="s">
        <v>638</v>
      </c>
      <c r="E176" s="28" t="s">
        <v>1789</v>
      </c>
      <c r="F176" s="69" t="s">
        <v>1662</v>
      </c>
      <c r="G176" s="69"/>
      <c r="T176" s="29"/>
      <c r="U176" s="29"/>
      <c r="V176" s="29"/>
      <c r="W176" s="29"/>
      <c r="X176" s="29"/>
      <c r="Y176" s="29"/>
      <c r="Z176" s="29"/>
      <c r="AA176" s="29"/>
      <c r="AB176" s="30"/>
      <c r="AC176" s="29"/>
      <c r="AD176" s="29"/>
    </row>
    <row r="177" spans="1:31" s="28" customFormat="1" x14ac:dyDescent="0.25">
      <c r="A177" s="61" t="s">
        <v>669</v>
      </c>
      <c r="B177" s="28" t="s">
        <v>670</v>
      </c>
      <c r="D177" s="28" t="s">
        <v>638</v>
      </c>
      <c r="E177" s="28" t="s">
        <v>1789</v>
      </c>
      <c r="F177" s="69" t="s">
        <v>1663</v>
      </c>
      <c r="G177" s="69"/>
      <c r="T177" s="29"/>
      <c r="U177" s="29"/>
      <c r="V177" s="29"/>
      <c r="W177" s="29"/>
      <c r="X177" s="29"/>
      <c r="Y177" s="29"/>
      <c r="Z177" s="29"/>
      <c r="AA177" s="29"/>
      <c r="AB177" s="30"/>
      <c r="AC177" s="29"/>
      <c r="AD177" s="29"/>
    </row>
    <row r="178" spans="1:31" s="28" customFormat="1" x14ac:dyDescent="0.25">
      <c r="A178" s="61" t="s">
        <v>671</v>
      </c>
      <c r="B178" s="28" t="s">
        <v>672</v>
      </c>
      <c r="D178" s="28" t="s">
        <v>638</v>
      </c>
      <c r="E178" s="28" t="s">
        <v>1789</v>
      </c>
      <c r="F178" s="69">
        <v>21121</v>
      </c>
      <c r="G178" s="69"/>
      <c r="T178" s="29"/>
      <c r="U178" s="29"/>
      <c r="V178" s="29"/>
      <c r="W178" s="29"/>
      <c r="X178" s="29"/>
      <c r="Y178" s="29"/>
      <c r="Z178" s="29"/>
      <c r="AA178" s="29"/>
      <c r="AB178" s="30"/>
      <c r="AC178" s="29"/>
      <c r="AD178" s="29"/>
    </row>
    <row r="179" spans="1:31" s="28" customFormat="1" x14ac:dyDescent="0.25">
      <c r="A179" s="61" t="s">
        <v>673</v>
      </c>
      <c r="B179" s="28" t="s">
        <v>674</v>
      </c>
      <c r="D179" s="28" t="s">
        <v>638</v>
      </c>
      <c r="E179" s="28" t="s">
        <v>1789</v>
      </c>
      <c r="F179" s="69">
        <v>21151</v>
      </c>
      <c r="G179" s="69"/>
      <c r="T179" s="29"/>
      <c r="U179" s="29"/>
      <c r="V179" s="29"/>
      <c r="W179" s="29"/>
      <c r="X179" s="29"/>
      <c r="Y179" s="29"/>
      <c r="Z179" s="29"/>
      <c r="AA179" s="29"/>
      <c r="AB179" s="30"/>
      <c r="AC179" s="29"/>
      <c r="AD179" s="29"/>
    </row>
    <row r="180" spans="1:31" s="28" customFormat="1" x14ac:dyDescent="0.25">
      <c r="A180" s="61" t="s">
        <v>675</v>
      </c>
      <c r="B180" s="28" t="s">
        <v>676</v>
      </c>
      <c r="D180" s="28" t="s">
        <v>638</v>
      </c>
      <c r="E180" s="28" t="s">
        <v>1789</v>
      </c>
      <c r="F180" s="69">
        <v>21153</v>
      </c>
      <c r="G180" s="69"/>
      <c r="T180" s="29"/>
      <c r="U180" s="29"/>
      <c r="V180" s="29"/>
      <c r="W180" s="29"/>
      <c r="X180" s="29"/>
      <c r="Y180" s="29"/>
      <c r="Z180" s="29"/>
      <c r="AA180" s="29"/>
      <c r="AB180" s="30"/>
      <c r="AC180" s="29"/>
      <c r="AD180" s="29"/>
    </row>
    <row r="181" spans="1:31" s="28" customFormat="1" x14ac:dyDescent="0.25">
      <c r="A181" s="61" t="s">
        <v>677</v>
      </c>
      <c r="B181" s="28" t="s">
        <v>678</v>
      </c>
      <c r="D181" s="28" t="s">
        <v>638</v>
      </c>
      <c r="E181" s="28" t="s">
        <v>1789</v>
      </c>
      <c r="F181" s="69">
        <v>21155</v>
      </c>
      <c r="G181" s="69"/>
      <c r="T181" s="29"/>
      <c r="U181" s="29"/>
      <c r="V181" s="29"/>
      <c r="W181" s="29"/>
      <c r="X181" s="29"/>
      <c r="Y181" s="29"/>
      <c r="Z181" s="29"/>
      <c r="AA181" s="29"/>
      <c r="AB181" s="30"/>
      <c r="AC181" s="29"/>
      <c r="AD181" s="29"/>
    </row>
    <row r="182" spans="1:31" s="28" customFormat="1" x14ac:dyDescent="0.25">
      <c r="A182" s="61" t="s">
        <v>679</v>
      </c>
      <c r="B182" s="28" t="s">
        <v>680</v>
      </c>
      <c r="D182" s="28" t="s">
        <v>638</v>
      </c>
      <c r="E182" s="28" t="s">
        <v>1789</v>
      </c>
      <c r="F182" s="69">
        <v>21156</v>
      </c>
      <c r="G182" s="69"/>
      <c r="T182" s="29"/>
      <c r="U182" s="29"/>
      <c r="V182" s="29"/>
      <c r="W182" s="29"/>
      <c r="X182" s="29"/>
      <c r="Y182" s="29"/>
      <c r="Z182" s="29"/>
      <c r="AA182" s="29"/>
      <c r="AB182" s="30"/>
      <c r="AC182" s="29"/>
      <c r="AD182" s="29"/>
    </row>
    <row r="183" spans="1:31" s="28" customFormat="1" x14ac:dyDescent="0.25">
      <c r="A183" s="61" t="s">
        <v>681</v>
      </c>
      <c r="B183" s="28" t="s">
        <v>682</v>
      </c>
      <c r="D183" s="28" t="s">
        <v>638</v>
      </c>
      <c r="E183" s="28" t="s">
        <v>1789</v>
      </c>
      <c r="F183" s="69" t="s">
        <v>1664</v>
      </c>
      <c r="G183" s="69"/>
      <c r="T183" s="29"/>
      <c r="U183" s="29"/>
      <c r="V183" s="29"/>
      <c r="W183" s="29"/>
      <c r="X183" s="29"/>
      <c r="Y183" s="29"/>
      <c r="Z183" s="29"/>
      <c r="AA183" s="29"/>
      <c r="AB183" s="30"/>
      <c r="AC183" s="29"/>
      <c r="AD183" s="29"/>
    </row>
    <row r="184" spans="1:31" s="31" customFormat="1" x14ac:dyDescent="0.25">
      <c r="A184" s="36" t="s">
        <v>683</v>
      </c>
      <c r="B184" s="31" t="s">
        <v>684</v>
      </c>
      <c r="D184" s="31" t="s">
        <v>638</v>
      </c>
      <c r="E184" s="31" t="s">
        <v>1791</v>
      </c>
      <c r="F184" s="66" t="s">
        <v>1665</v>
      </c>
      <c r="G184" s="66" t="s">
        <v>237</v>
      </c>
      <c r="H184" s="31">
        <v>1059</v>
      </c>
      <c r="I184" s="31" t="s">
        <v>237</v>
      </c>
      <c r="J184" s="31" t="s">
        <v>685</v>
      </c>
      <c r="Q184" s="31" t="s">
        <v>165</v>
      </c>
      <c r="T184" s="32">
        <v>92.3</v>
      </c>
      <c r="U184" s="32">
        <v>24.4</v>
      </c>
      <c r="V184" s="32"/>
      <c r="W184" s="32"/>
      <c r="X184" s="32"/>
      <c r="Y184" s="32"/>
      <c r="Z184" s="32">
        <v>15.2</v>
      </c>
      <c r="AA184" s="32">
        <v>60.2</v>
      </c>
      <c r="AB184" s="33"/>
      <c r="AC184" s="32"/>
      <c r="AD184" s="32">
        <v>87</v>
      </c>
      <c r="AE184" s="31" t="s">
        <v>686</v>
      </c>
    </row>
    <row r="185" spans="1:31" s="28" customFormat="1" x14ac:dyDescent="0.25">
      <c r="A185" s="61" t="s">
        <v>687</v>
      </c>
      <c r="B185" s="28" t="s">
        <v>688</v>
      </c>
      <c r="D185" s="28" t="s">
        <v>638</v>
      </c>
      <c r="E185" s="28" t="s">
        <v>1789</v>
      </c>
      <c r="F185" s="69" t="s">
        <v>1666</v>
      </c>
      <c r="G185" s="69"/>
      <c r="T185" s="29"/>
      <c r="U185" s="29"/>
      <c r="V185" s="29"/>
      <c r="W185" s="29"/>
      <c r="X185" s="29"/>
      <c r="Y185" s="29"/>
      <c r="Z185" s="29"/>
      <c r="AA185" s="29"/>
      <c r="AB185" s="30"/>
      <c r="AC185" s="29"/>
      <c r="AD185" s="29"/>
    </row>
    <row r="186" spans="1:31" s="28" customFormat="1" x14ac:dyDescent="0.25">
      <c r="A186" s="61" t="s">
        <v>689</v>
      </c>
      <c r="B186" s="28" t="s">
        <v>690</v>
      </c>
      <c r="D186" s="28" t="s">
        <v>638</v>
      </c>
      <c r="E186" s="28" t="s">
        <v>1789</v>
      </c>
      <c r="F186" s="69" t="s">
        <v>1667</v>
      </c>
      <c r="G186" s="69"/>
      <c r="T186" s="29"/>
      <c r="U186" s="29"/>
      <c r="V186" s="29"/>
      <c r="W186" s="29"/>
      <c r="X186" s="29"/>
      <c r="Y186" s="29"/>
      <c r="Z186" s="29"/>
      <c r="AA186" s="29"/>
      <c r="AB186" s="30"/>
      <c r="AC186" s="29"/>
      <c r="AD186" s="29"/>
    </row>
    <row r="187" spans="1:31" s="31" customFormat="1" x14ac:dyDescent="0.25">
      <c r="A187" s="36" t="s">
        <v>691</v>
      </c>
      <c r="B187" s="31" t="s">
        <v>692</v>
      </c>
      <c r="D187" s="31" t="s">
        <v>296</v>
      </c>
      <c r="E187" s="31" t="s">
        <v>1791</v>
      </c>
      <c r="F187" s="66" t="s">
        <v>1668</v>
      </c>
      <c r="G187" s="66" t="s">
        <v>237</v>
      </c>
      <c r="H187" s="31">
        <v>1173</v>
      </c>
      <c r="I187" s="31" t="s">
        <v>237</v>
      </c>
      <c r="J187" s="31" t="s">
        <v>693</v>
      </c>
      <c r="Q187" s="31" t="s">
        <v>165</v>
      </c>
      <c r="T187" s="32">
        <v>94.5</v>
      </c>
      <c r="U187" s="32">
        <v>17.2</v>
      </c>
      <c r="V187" s="32"/>
      <c r="W187" s="32">
        <v>11.85</v>
      </c>
      <c r="X187" s="32"/>
      <c r="Y187" s="32">
        <v>10.55</v>
      </c>
      <c r="Z187" s="32">
        <v>11.85</v>
      </c>
      <c r="AA187" s="32">
        <v>58.45</v>
      </c>
      <c r="AB187" s="33">
        <f>AA187/6.25/100</f>
        <v>9.3520000000000006E-2</v>
      </c>
      <c r="AC187" s="32"/>
      <c r="AD187" s="32">
        <v>81.650000000000006</v>
      </c>
      <c r="AE187" s="31" t="s">
        <v>694</v>
      </c>
    </row>
    <row r="188" spans="1:31" s="31" customFormat="1" x14ac:dyDescent="0.25">
      <c r="A188" s="36" t="s">
        <v>695</v>
      </c>
      <c r="B188" s="31" t="s">
        <v>696</v>
      </c>
      <c r="C188" s="31" t="s">
        <v>697</v>
      </c>
      <c r="D188" s="31" t="s">
        <v>296</v>
      </c>
      <c r="E188" s="31" t="s">
        <v>1791</v>
      </c>
      <c r="F188" s="66">
        <v>21291</v>
      </c>
      <c r="G188" s="66" t="s">
        <v>237</v>
      </c>
      <c r="I188" s="31" t="s">
        <v>237</v>
      </c>
      <c r="J188" s="31" t="s">
        <v>698</v>
      </c>
      <c r="P188" s="31" t="s">
        <v>114</v>
      </c>
      <c r="T188" s="32">
        <v>92.26</v>
      </c>
      <c r="U188" s="32">
        <v>20.43</v>
      </c>
      <c r="V188" s="32">
        <v>20.45</v>
      </c>
      <c r="W188" s="32">
        <v>18.03</v>
      </c>
      <c r="X188" s="32">
        <v>14.2</v>
      </c>
      <c r="Y188" s="32">
        <v>16.25</v>
      </c>
      <c r="Z188" s="32">
        <v>14.13</v>
      </c>
      <c r="AA188" s="32">
        <v>64.8</v>
      </c>
      <c r="AB188" s="33">
        <f>AA188/6.25/100</f>
        <v>0.10368000000000001</v>
      </c>
      <c r="AC188" s="32">
        <v>95</v>
      </c>
      <c r="AD188" s="32">
        <v>89.65</v>
      </c>
      <c r="AE188" s="31" t="s">
        <v>699</v>
      </c>
    </row>
    <row r="189" spans="1:31" s="31" customFormat="1" x14ac:dyDescent="0.25">
      <c r="A189" s="36" t="s">
        <v>700</v>
      </c>
      <c r="B189" s="31" t="s">
        <v>701</v>
      </c>
      <c r="D189" s="31" t="s">
        <v>296</v>
      </c>
      <c r="E189" s="31" t="s">
        <v>1791</v>
      </c>
      <c r="F189" s="66">
        <v>21392</v>
      </c>
      <c r="G189" s="66">
        <v>1510</v>
      </c>
      <c r="H189" s="31">
        <v>117</v>
      </c>
      <c r="I189" s="31">
        <v>116</v>
      </c>
      <c r="J189" s="31" t="s">
        <v>702</v>
      </c>
      <c r="K189" s="31" t="s">
        <v>31</v>
      </c>
      <c r="L189" s="31" t="s">
        <v>31</v>
      </c>
      <c r="N189" s="31" t="s">
        <v>31</v>
      </c>
      <c r="O189" s="31" t="s">
        <v>31</v>
      </c>
      <c r="P189" s="31" t="s">
        <v>32</v>
      </c>
      <c r="Q189" s="31" t="s">
        <v>165</v>
      </c>
      <c r="T189" s="32">
        <v>17</v>
      </c>
      <c r="U189" s="31">
        <v>16.8</v>
      </c>
      <c r="V189" s="31">
        <f>U189*0.81</f>
        <v>13.608000000000002</v>
      </c>
      <c r="W189" s="31">
        <v>15.1</v>
      </c>
      <c r="X189" s="31">
        <v>11.4</v>
      </c>
      <c r="Y189" s="31">
        <v>14.5</v>
      </c>
      <c r="Z189" s="31">
        <f>AVERAGE(10.4,10.5)</f>
        <v>10.45</v>
      </c>
      <c r="AA189" s="31">
        <v>12.8</v>
      </c>
      <c r="AB189" s="33">
        <f>AA189/6.25/100</f>
        <v>2.0480000000000002E-2</v>
      </c>
      <c r="AC189" s="31">
        <v>69.8</v>
      </c>
      <c r="AD189" s="31">
        <v>73.7</v>
      </c>
      <c r="AE189" s="35" t="s">
        <v>703</v>
      </c>
    </row>
    <row r="190" spans="1:31" s="28" customFormat="1" x14ac:dyDescent="0.25">
      <c r="A190" s="61" t="s">
        <v>704</v>
      </c>
      <c r="B190" s="28" t="s">
        <v>705</v>
      </c>
      <c r="D190" s="28" t="s">
        <v>44</v>
      </c>
      <c r="E190" s="28" t="s">
        <v>1789</v>
      </c>
      <c r="F190" s="69" t="s">
        <v>1669</v>
      </c>
      <c r="G190" s="69" t="s">
        <v>1617</v>
      </c>
      <c r="H190" s="28">
        <v>448</v>
      </c>
      <c r="I190" s="28">
        <v>446</v>
      </c>
      <c r="J190" s="28" t="s">
        <v>706</v>
      </c>
      <c r="T190" s="29"/>
      <c r="U190" s="29"/>
      <c r="V190" s="29"/>
      <c r="W190" s="29"/>
      <c r="X190" s="29"/>
      <c r="Y190" s="29"/>
      <c r="Z190" s="29"/>
      <c r="AA190" s="29"/>
      <c r="AB190" s="30"/>
      <c r="AC190" s="29"/>
      <c r="AD190" s="29"/>
    </row>
    <row r="191" spans="1:31" s="28" customFormat="1" x14ac:dyDescent="0.25">
      <c r="A191" s="61" t="s">
        <v>707</v>
      </c>
      <c r="B191" s="28" t="s">
        <v>708</v>
      </c>
      <c r="D191" s="28" t="s">
        <v>163</v>
      </c>
      <c r="E191" s="28" t="s">
        <v>1789</v>
      </c>
      <c r="F191" s="69" t="s">
        <v>1670</v>
      </c>
      <c r="G191" s="69"/>
      <c r="T191" s="29"/>
      <c r="U191" s="29"/>
      <c r="V191" s="29"/>
      <c r="W191" s="29"/>
      <c r="X191" s="29"/>
      <c r="Y191" s="29"/>
      <c r="Z191" s="29"/>
      <c r="AA191" s="29"/>
      <c r="AB191" s="30"/>
      <c r="AC191" s="29"/>
      <c r="AD191" s="29"/>
    </row>
    <row r="192" spans="1:31" s="31" customFormat="1" x14ac:dyDescent="0.25">
      <c r="A192" s="36" t="s">
        <v>709</v>
      </c>
      <c r="B192" s="31" t="s">
        <v>710</v>
      </c>
      <c r="D192" s="31" t="s">
        <v>321</v>
      </c>
      <c r="E192" s="31" t="s">
        <v>1791</v>
      </c>
      <c r="F192" s="66">
        <v>21421</v>
      </c>
      <c r="G192" s="66">
        <v>142</v>
      </c>
      <c r="H192" s="31">
        <v>243</v>
      </c>
      <c r="I192" s="31">
        <v>242</v>
      </c>
      <c r="J192" s="31" t="s">
        <v>711</v>
      </c>
      <c r="K192" s="31" t="s">
        <v>31</v>
      </c>
      <c r="L192" s="31" t="s">
        <v>31</v>
      </c>
      <c r="N192" s="31" t="s">
        <v>31</v>
      </c>
      <c r="Q192" s="31" t="s">
        <v>165</v>
      </c>
      <c r="T192" s="32">
        <v>95.5</v>
      </c>
      <c r="U192" s="32">
        <v>29.3</v>
      </c>
      <c r="V192" s="32">
        <v>28.8</v>
      </c>
      <c r="W192" s="32">
        <v>24.3</v>
      </c>
      <c r="X192" s="32">
        <v>23</v>
      </c>
      <c r="Y192" s="32">
        <v>23.5</v>
      </c>
      <c r="Z192" s="32"/>
      <c r="AA192" s="32">
        <v>29.5</v>
      </c>
      <c r="AB192" s="33">
        <f>AA192/6.25/100</f>
        <v>4.7199999999999999E-2</v>
      </c>
      <c r="AC192" s="32">
        <v>89.9</v>
      </c>
      <c r="AD192" s="32"/>
      <c r="AE192" s="31" t="s">
        <v>712</v>
      </c>
    </row>
    <row r="193" spans="1:32" s="28" customFormat="1" x14ac:dyDescent="0.25">
      <c r="A193" s="61" t="s">
        <v>713</v>
      </c>
      <c r="B193" s="28" t="s">
        <v>714</v>
      </c>
      <c r="D193" s="28" t="s">
        <v>152</v>
      </c>
      <c r="E193" s="28" t="s">
        <v>1789</v>
      </c>
      <c r="F193" s="69">
        <v>21432</v>
      </c>
      <c r="G193" s="69"/>
      <c r="T193" s="29"/>
      <c r="U193" s="29"/>
      <c r="V193" s="29"/>
      <c r="W193" s="29"/>
      <c r="X193" s="29"/>
      <c r="Y193" s="29"/>
      <c r="Z193" s="29"/>
      <c r="AA193" s="29"/>
      <c r="AB193" s="30"/>
      <c r="AC193" s="29"/>
      <c r="AD193" s="29"/>
    </row>
    <row r="194" spans="1:32" s="31" customFormat="1" x14ac:dyDescent="0.25">
      <c r="A194" s="36" t="s">
        <v>715</v>
      </c>
      <c r="B194" s="31" t="s">
        <v>716</v>
      </c>
      <c r="D194" s="31" t="s">
        <v>152</v>
      </c>
      <c r="E194" s="31" t="s">
        <v>1791</v>
      </c>
      <c r="F194" s="66" t="s">
        <v>1671</v>
      </c>
      <c r="G194" s="66">
        <v>1316</v>
      </c>
      <c r="H194" s="31">
        <v>584</v>
      </c>
      <c r="I194" s="31">
        <v>571</v>
      </c>
      <c r="J194" s="31" t="s">
        <v>717</v>
      </c>
      <c r="Q194" s="31" t="s">
        <v>165</v>
      </c>
      <c r="T194" s="32">
        <v>17.5</v>
      </c>
      <c r="U194" s="32">
        <v>17.8</v>
      </c>
      <c r="V194" s="32"/>
      <c r="W194" s="32">
        <v>14.1</v>
      </c>
      <c r="X194" s="32"/>
      <c r="Y194" s="32"/>
      <c r="Z194" s="32"/>
      <c r="AA194" s="32">
        <v>4.2</v>
      </c>
      <c r="AB194" s="33"/>
      <c r="AC194" s="32"/>
      <c r="AD194" s="32"/>
      <c r="AE194" s="35" t="s">
        <v>718</v>
      </c>
    </row>
    <row r="195" spans="1:32" s="28" customFormat="1" x14ac:dyDescent="0.25">
      <c r="A195" s="61" t="s">
        <v>719</v>
      </c>
      <c r="B195" s="28" t="s">
        <v>720</v>
      </c>
      <c r="D195" s="28" t="s">
        <v>638</v>
      </c>
      <c r="E195" s="28" t="s">
        <v>1789</v>
      </c>
      <c r="F195" s="69" t="s">
        <v>1672</v>
      </c>
      <c r="G195" s="69"/>
      <c r="T195" s="29"/>
      <c r="U195" s="29"/>
      <c r="V195" s="29"/>
      <c r="W195" s="29"/>
      <c r="X195" s="29"/>
      <c r="Y195" s="29"/>
      <c r="Z195" s="29"/>
      <c r="AA195" s="29"/>
      <c r="AB195" s="30"/>
      <c r="AC195" s="29"/>
      <c r="AD195" s="29"/>
    </row>
    <row r="196" spans="1:32" s="28" customFormat="1" x14ac:dyDescent="0.25">
      <c r="A196" s="61" t="s">
        <v>721</v>
      </c>
      <c r="B196" s="28" t="s">
        <v>722</v>
      </c>
      <c r="D196" s="28" t="s">
        <v>638</v>
      </c>
      <c r="E196" s="28" t="s">
        <v>1789</v>
      </c>
      <c r="F196" s="69" t="s">
        <v>1673</v>
      </c>
      <c r="G196" s="69"/>
      <c r="T196" s="29"/>
      <c r="U196" s="29"/>
      <c r="V196" s="29"/>
      <c r="W196" s="29"/>
      <c r="X196" s="29"/>
      <c r="Y196" s="29"/>
      <c r="Z196" s="29"/>
      <c r="AA196" s="29"/>
      <c r="AB196" s="30"/>
      <c r="AC196" s="29"/>
      <c r="AD196" s="29"/>
    </row>
    <row r="197" spans="1:32" s="28" customFormat="1" x14ac:dyDescent="0.25">
      <c r="A197" s="61" t="s">
        <v>723</v>
      </c>
      <c r="B197" s="28" t="s">
        <v>724</v>
      </c>
      <c r="D197" s="28" t="s">
        <v>638</v>
      </c>
      <c r="E197" s="28" t="s">
        <v>1789</v>
      </c>
      <c r="F197" s="69">
        <v>21512</v>
      </c>
      <c r="G197" s="69"/>
      <c r="T197" s="29"/>
      <c r="U197" s="29"/>
      <c r="V197" s="29"/>
      <c r="W197" s="29"/>
      <c r="X197" s="29"/>
      <c r="Y197" s="29"/>
      <c r="Z197" s="29"/>
      <c r="AA197" s="29"/>
      <c r="AB197" s="30"/>
      <c r="AC197" s="29"/>
      <c r="AD197" s="29"/>
    </row>
    <row r="198" spans="1:32" s="28" customFormat="1" x14ac:dyDescent="0.25">
      <c r="A198" s="61" t="s">
        <v>725</v>
      </c>
      <c r="B198" s="28" t="s">
        <v>726</v>
      </c>
      <c r="D198" s="28" t="s">
        <v>638</v>
      </c>
      <c r="E198" s="28" t="s">
        <v>1789</v>
      </c>
      <c r="F198" s="69">
        <v>21515</v>
      </c>
      <c r="G198" s="69"/>
      <c r="T198" s="29"/>
      <c r="U198" s="29"/>
      <c r="V198" s="29"/>
      <c r="W198" s="29"/>
      <c r="X198" s="29"/>
      <c r="Y198" s="29"/>
      <c r="Z198" s="29"/>
      <c r="AA198" s="29"/>
      <c r="AB198" s="30"/>
      <c r="AC198" s="29"/>
      <c r="AD198" s="29"/>
    </row>
    <row r="199" spans="1:32" s="28" customFormat="1" x14ac:dyDescent="0.25">
      <c r="A199" s="61" t="s">
        <v>727</v>
      </c>
      <c r="B199" s="28" t="s">
        <v>728</v>
      </c>
      <c r="D199" s="28" t="s">
        <v>638</v>
      </c>
      <c r="E199" s="28" t="s">
        <v>1789</v>
      </c>
      <c r="F199" s="69">
        <v>21523</v>
      </c>
      <c r="G199" s="69"/>
      <c r="T199" s="29"/>
      <c r="U199" s="29"/>
      <c r="V199" s="29"/>
      <c r="W199" s="29"/>
      <c r="X199" s="29"/>
      <c r="Y199" s="29"/>
      <c r="Z199" s="29"/>
      <c r="AA199" s="29"/>
      <c r="AB199" s="30"/>
      <c r="AC199" s="29"/>
      <c r="AD199" s="29"/>
    </row>
    <row r="200" spans="1:32" s="28" customFormat="1" x14ac:dyDescent="0.25">
      <c r="A200" s="61" t="s">
        <v>729</v>
      </c>
      <c r="B200" s="28" t="s">
        <v>730</v>
      </c>
      <c r="D200" s="28" t="s">
        <v>638</v>
      </c>
      <c r="E200" s="28" t="s">
        <v>1789</v>
      </c>
      <c r="F200" s="69" t="s">
        <v>1674</v>
      </c>
      <c r="G200" s="69"/>
      <c r="T200" s="29"/>
      <c r="U200" s="29"/>
      <c r="V200" s="29"/>
      <c r="W200" s="29"/>
      <c r="X200" s="29"/>
      <c r="Y200" s="29"/>
      <c r="Z200" s="29"/>
      <c r="AA200" s="29"/>
      <c r="AB200" s="30"/>
      <c r="AC200" s="29"/>
      <c r="AD200" s="29"/>
    </row>
    <row r="201" spans="1:32" s="31" customFormat="1" x14ac:dyDescent="0.25">
      <c r="A201" s="36" t="s">
        <v>731</v>
      </c>
      <c r="B201" s="31" t="s">
        <v>732</v>
      </c>
      <c r="C201" s="31" t="s">
        <v>1795</v>
      </c>
      <c r="D201" s="31" t="s">
        <v>152</v>
      </c>
      <c r="E201" s="31" t="s">
        <v>1791</v>
      </c>
      <c r="F201" s="66">
        <v>2161</v>
      </c>
      <c r="G201" s="66">
        <v>141</v>
      </c>
      <c r="H201" s="31">
        <v>237</v>
      </c>
      <c r="I201" s="31">
        <v>236</v>
      </c>
      <c r="J201" s="31" t="s">
        <v>733</v>
      </c>
      <c r="P201" s="31" t="s">
        <v>114</v>
      </c>
      <c r="Q201" s="31" t="s">
        <v>39</v>
      </c>
      <c r="T201" s="32">
        <v>99.8</v>
      </c>
      <c r="U201" s="32">
        <v>39.299999999999898</v>
      </c>
      <c r="V201" s="32">
        <v>39.142799999999902</v>
      </c>
      <c r="W201" s="32">
        <v>34.5</v>
      </c>
      <c r="X201" s="32">
        <v>36.700000000000003</v>
      </c>
      <c r="Y201" s="32">
        <v>34.349999999999902</v>
      </c>
      <c r="Z201" s="32">
        <v>37.9</v>
      </c>
      <c r="AA201" s="32">
        <v>0</v>
      </c>
      <c r="AB201" s="33">
        <v>0</v>
      </c>
      <c r="AC201" s="32">
        <v>0</v>
      </c>
      <c r="AD201" s="32">
        <v>0</v>
      </c>
      <c r="AE201" s="34" t="s">
        <v>734</v>
      </c>
      <c r="AF201" s="34" t="s">
        <v>735</v>
      </c>
    </row>
    <row r="202" spans="1:32" s="31" customFormat="1" x14ac:dyDescent="0.25">
      <c r="A202" s="36" t="s">
        <v>736</v>
      </c>
      <c r="B202" s="31" t="s">
        <v>737</v>
      </c>
      <c r="D202" s="31" t="s">
        <v>152</v>
      </c>
      <c r="E202" s="31" t="s">
        <v>1791</v>
      </c>
      <c r="F202" s="66" t="s">
        <v>1675</v>
      </c>
      <c r="G202" s="66">
        <v>1445</v>
      </c>
      <c r="H202" s="31">
        <v>268</v>
      </c>
      <c r="I202" s="31">
        <v>267</v>
      </c>
      <c r="J202" s="31" t="s">
        <v>738</v>
      </c>
      <c r="Q202" s="31" t="s">
        <v>39</v>
      </c>
      <c r="T202" s="32">
        <v>99.3</v>
      </c>
      <c r="U202" s="32">
        <v>39.299999999999997</v>
      </c>
      <c r="V202" s="32"/>
      <c r="W202" s="32">
        <v>34.5</v>
      </c>
      <c r="X202" s="32">
        <v>36.700000000000003</v>
      </c>
      <c r="Y202" s="32">
        <v>34.299999999999997</v>
      </c>
      <c r="Z202" s="32"/>
      <c r="AA202" s="32">
        <v>0</v>
      </c>
      <c r="AB202" s="33">
        <v>0</v>
      </c>
      <c r="AC202" s="32">
        <v>0</v>
      </c>
      <c r="AD202" s="32">
        <v>0</v>
      </c>
      <c r="AE202" s="34" t="s">
        <v>739</v>
      </c>
    </row>
    <row r="203" spans="1:32" s="28" customFormat="1" x14ac:dyDescent="0.25">
      <c r="A203" s="61" t="s">
        <v>740</v>
      </c>
      <c r="B203" s="28" t="s">
        <v>741</v>
      </c>
      <c r="D203" s="28" t="s">
        <v>152</v>
      </c>
      <c r="E203" s="28" t="s">
        <v>1789</v>
      </c>
      <c r="F203" s="69" t="s">
        <v>1676</v>
      </c>
      <c r="G203" s="69"/>
      <c r="T203" s="29"/>
      <c r="U203" s="29"/>
      <c r="V203" s="29"/>
      <c r="W203" s="29"/>
      <c r="X203" s="29"/>
      <c r="Y203" s="29"/>
      <c r="Z203" s="29"/>
      <c r="AA203" s="29"/>
      <c r="AB203" s="30"/>
      <c r="AC203" s="29"/>
      <c r="AD203" s="29"/>
    </row>
    <row r="204" spans="1:32" s="28" customFormat="1" x14ac:dyDescent="0.25">
      <c r="A204" s="61" t="s">
        <v>742</v>
      </c>
      <c r="B204" s="28" t="s">
        <v>743</v>
      </c>
      <c r="D204" s="28" t="s">
        <v>152</v>
      </c>
      <c r="E204" s="28" t="s">
        <v>1789</v>
      </c>
      <c r="F204" s="69" t="s">
        <v>1677</v>
      </c>
      <c r="G204" s="69"/>
      <c r="T204" s="29"/>
      <c r="U204" s="29"/>
      <c r="V204" s="29"/>
      <c r="W204" s="29"/>
      <c r="X204" s="29"/>
      <c r="Y204" s="29"/>
      <c r="Z204" s="29"/>
      <c r="AA204" s="29"/>
      <c r="AB204" s="30"/>
      <c r="AC204" s="29"/>
      <c r="AD204" s="29"/>
    </row>
    <row r="205" spans="1:32" s="31" customFormat="1" x14ac:dyDescent="0.25">
      <c r="A205" s="36" t="s">
        <v>744</v>
      </c>
      <c r="B205" s="31" t="s">
        <v>745</v>
      </c>
      <c r="D205" s="31" t="s">
        <v>152</v>
      </c>
      <c r="E205" s="31" t="s">
        <v>1791</v>
      </c>
      <c r="F205" s="66">
        <v>2165</v>
      </c>
      <c r="G205" s="66" t="s">
        <v>1627</v>
      </c>
      <c r="H205" s="31">
        <v>257</v>
      </c>
      <c r="I205" s="31">
        <v>254</v>
      </c>
      <c r="J205" s="31" t="s">
        <v>746</v>
      </c>
      <c r="Q205" s="31" t="s">
        <v>39</v>
      </c>
      <c r="T205" s="32">
        <v>99.8</v>
      </c>
      <c r="U205" s="32">
        <v>39.200000000000003</v>
      </c>
      <c r="V205" s="32">
        <f>U205*0.88</f>
        <v>34.496000000000002</v>
      </c>
      <c r="W205" s="32">
        <v>34.5</v>
      </c>
      <c r="X205" s="32">
        <v>36.6</v>
      </c>
      <c r="Y205" s="32">
        <v>34.299999999999997</v>
      </c>
      <c r="Z205" s="32">
        <f>AVERAGE(33.3,29.4)</f>
        <v>31.349999999999998</v>
      </c>
      <c r="AA205" s="32">
        <v>0</v>
      </c>
      <c r="AB205" s="33"/>
      <c r="AC205" s="32"/>
      <c r="AD205" s="32"/>
      <c r="AE205" s="31" t="s">
        <v>747</v>
      </c>
    </row>
    <row r="206" spans="1:32" s="31" customFormat="1" x14ac:dyDescent="0.25">
      <c r="A206" s="36" t="s">
        <v>748</v>
      </c>
      <c r="B206" s="31" t="s">
        <v>749</v>
      </c>
      <c r="D206" s="31" t="s">
        <v>750</v>
      </c>
      <c r="E206" s="31" t="s">
        <v>1791</v>
      </c>
      <c r="F206" s="66">
        <v>21673</v>
      </c>
      <c r="G206" s="66">
        <v>1450</v>
      </c>
      <c r="H206" s="31">
        <v>274</v>
      </c>
      <c r="I206" s="31">
        <v>260</v>
      </c>
      <c r="J206" s="31" t="s">
        <v>751</v>
      </c>
      <c r="Q206" s="31" t="s">
        <v>165</v>
      </c>
      <c r="T206" s="32">
        <v>86.6</v>
      </c>
      <c r="U206" s="31">
        <v>19.7</v>
      </c>
      <c r="V206" s="31">
        <v>6.2</v>
      </c>
      <c r="W206" s="31">
        <v>7.6</v>
      </c>
      <c r="X206" s="31">
        <v>5</v>
      </c>
      <c r="AA206" s="31">
        <v>10.25</v>
      </c>
      <c r="AB206" s="33">
        <f>AA206/6.25/100</f>
        <v>1.6399999999999998E-2</v>
      </c>
      <c r="AC206" s="31">
        <v>16.25</v>
      </c>
      <c r="AD206" s="32"/>
      <c r="AE206" s="31" t="s">
        <v>752</v>
      </c>
    </row>
    <row r="207" spans="1:32" s="28" customFormat="1" x14ac:dyDescent="0.25">
      <c r="A207" s="61" t="s">
        <v>753</v>
      </c>
      <c r="B207" s="28" t="s">
        <v>754</v>
      </c>
      <c r="D207" s="28" t="s">
        <v>152</v>
      </c>
      <c r="E207" s="28" t="s">
        <v>1789</v>
      </c>
      <c r="F207" s="69" t="s">
        <v>1678</v>
      </c>
      <c r="G207" s="69"/>
      <c r="T207" s="29"/>
      <c r="U207" s="29"/>
      <c r="V207" s="29"/>
      <c r="W207" s="29"/>
      <c r="X207" s="29"/>
      <c r="Y207" s="29"/>
      <c r="Z207" s="29"/>
      <c r="AA207" s="29"/>
      <c r="AB207" s="30"/>
      <c r="AC207" s="29"/>
      <c r="AD207" s="29"/>
    </row>
    <row r="208" spans="1:32" s="28" customFormat="1" x14ac:dyDescent="0.25">
      <c r="A208" s="61" t="s">
        <v>755</v>
      </c>
      <c r="B208" s="28" t="s">
        <v>756</v>
      </c>
      <c r="D208" s="28" t="s">
        <v>152</v>
      </c>
      <c r="E208" s="28" t="s">
        <v>1789</v>
      </c>
      <c r="F208" s="69" t="s">
        <v>1679</v>
      </c>
      <c r="G208" s="69"/>
      <c r="T208" s="29"/>
      <c r="U208" s="29"/>
      <c r="V208" s="29"/>
      <c r="W208" s="29"/>
      <c r="X208" s="29"/>
      <c r="Y208" s="29"/>
      <c r="Z208" s="29"/>
      <c r="AA208" s="29"/>
      <c r="AB208" s="30"/>
      <c r="AC208" s="29"/>
      <c r="AD208" s="29"/>
    </row>
    <row r="209" spans="1:31" s="31" customFormat="1" x14ac:dyDescent="0.25">
      <c r="A209" s="36" t="s">
        <v>757</v>
      </c>
      <c r="B209" s="31" t="s">
        <v>758</v>
      </c>
      <c r="D209" s="31" t="s">
        <v>296</v>
      </c>
      <c r="E209" s="31" t="s">
        <v>1791</v>
      </c>
      <c r="F209" s="66" t="s">
        <v>1680</v>
      </c>
      <c r="G209" s="66">
        <v>113</v>
      </c>
      <c r="H209" s="31">
        <v>37</v>
      </c>
      <c r="I209" s="31">
        <v>27</v>
      </c>
      <c r="J209" s="31" t="s">
        <v>759</v>
      </c>
      <c r="K209" s="31" t="s">
        <v>31</v>
      </c>
      <c r="L209" s="31" t="s">
        <v>31</v>
      </c>
      <c r="M209" s="31" t="s">
        <v>31</v>
      </c>
      <c r="N209" s="31" t="s">
        <v>31</v>
      </c>
      <c r="O209" s="31" t="s">
        <v>31</v>
      </c>
      <c r="P209" s="31" t="s">
        <v>32</v>
      </c>
      <c r="Q209" s="31" t="s">
        <v>165</v>
      </c>
      <c r="T209" s="32">
        <v>90.1</v>
      </c>
      <c r="U209" s="32">
        <v>17.329999999999998</v>
      </c>
      <c r="V209" s="32">
        <v>10.66</v>
      </c>
      <c r="W209" s="32">
        <v>10.63</v>
      </c>
      <c r="X209" s="32">
        <v>8.66</v>
      </c>
      <c r="Y209" s="32">
        <v>10.029999999999999</v>
      </c>
      <c r="Z209" s="32">
        <v>7.51</v>
      </c>
      <c r="AA209" s="32">
        <v>13.26</v>
      </c>
      <c r="AB209" s="33">
        <f>AA209/6.25/100</f>
        <v>2.1215999999999999E-2</v>
      </c>
      <c r="AC209" s="32">
        <v>56.83</v>
      </c>
      <c r="AD209" s="32">
        <v>59.15</v>
      </c>
      <c r="AE209" s="31" t="s">
        <v>760</v>
      </c>
    </row>
    <row r="210" spans="1:31" s="31" customFormat="1" x14ac:dyDescent="0.25">
      <c r="A210" s="36" t="s">
        <v>761</v>
      </c>
      <c r="B210" s="31" t="s">
        <v>762</v>
      </c>
      <c r="D210" s="31" t="s">
        <v>750</v>
      </c>
      <c r="E210" s="31" t="s">
        <v>1791</v>
      </c>
      <c r="F210" s="66" t="s">
        <v>1681</v>
      </c>
      <c r="G210" s="66">
        <v>112</v>
      </c>
      <c r="H210" s="31">
        <v>61</v>
      </c>
      <c r="I210" s="31">
        <v>56</v>
      </c>
      <c r="K210" s="31" t="s">
        <v>31</v>
      </c>
      <c r="L210" s="31" t="s">
        <v>31</v>
      </c>
      <c r="M210" s="31" t="s">
        <v>31</v>
      </c>
      <c r="N210" s="31" t="s">
        <v>31</v>
      </c>
      <c r="O210" s="31" t="s">
        <v>31</v>
      </c>
      <c r="P210" s="31" t="s">
        <v>32</v>
      </c>
      <c r="Q210" s="31" t="s">
        <v>165</v>
      </c>
      <c r="T210" s="32">
        <v>91.22</v>
      </c>
      <c r="U210" s="32">
        <v>19.649999999999999</v>
      </c>
      <c r="V210" s="31">
        <v>15.9</v>
      </c>
      <c r="W210" s="32">
        <v>13.76</v>
      </c>
      <c r="X210" s="32">
        <v>12.92</v>
      </c>
      <c r="Y210" s="32">
        <v>12.53</v>
      </c>
      <c r="Z210" s="32">
        <v>10.3</v>
      </c>
      <c r="AA210" s="32">
        <v>20.92</v>
      </c>
      <c r="AB210" s="33">
        <f>AA210/6.25/100</f>
        <v>3.3472000000000002E-2</v>
      </c>
      <c r="AC210" s="32">
        <v>59.72</v>
      </c>
      <c r="AD210" s="32">
        <v>67.400000000000006</v>
      </c>
      <c r="AE210" s="31" t="s">
        <v>763</v>
      </c>
    </row>
    <row r="211" spans="1:31" s="31" customFormat="1" x14ac:dyDescent="0.25">
      <c r="A211" s="36" t="s">
        <v>764</v>
      </c>
      <c r="B211" s="31" t="s">
        <v>765</v>
      </c>
      <c r="C211" s="31" t="s">
        <v>766</v>
      </c>
      <c r="D211" s="31" t="s">
        <v>750</v>
      </c>
      <c r="E211" s="31" t="s">
        <v>1791</v>
      </c>
      <c r="F211" s="66" t="s">
        <v>1682</v>
      </c>
      <c r="G211" s="66">
        <v>141</v>
      </c>
      <c r="H211" s="31">
        <v>238</v>
      </c>
      <c r="I211" s="31">
        <v>236</v>
      </c>
      <c r="J211" s="31" t="s">
        <v>767</v>
      </c>
      <c r="K211" s="31" t="s">
        <v>31</v>
      </c>
      <c r="L211" s="31" t="s">
        <v>31</v>
      </c>
      <c r="M211" s="31" t="s">
        <v>31</v>
      </c>
      <c r="N211" s="31" t="s">
        <v>31</v>
      </c>
      <c r="O211" s="31" t="s">
        <v>31</v>
      </c>
      <c r="P211" s="31" t="s">
        <v>32</v>
      </c>
      <c r="Q211" s="31" t="s">
        <v>165</v>
      </c>
      <c r="T211" s="32">
        <v>88</v>
      </c>
      <c r="U211" s="32">
        <v>19.7</v>
      </c>
      <c r="V211" s="32">
        <v>17.95655</v>
      </c>
      <c r="W211" s="32">
        <v>17.05</v>
      </c>
      <c r="X211" s="32">
        <v>13.35</v>
      </c>
      <c r="Y211" s="32">
        <v>15.55</v>
      </c>
      <c r="Z211" s="32">
        <v>11.05</v>
      </c>
      <c r="AA211" s="32">
        <v>53.9</v>
      </c>
      <c r="AB211" s="33">
        <v>8.6239999999999997E-2</v>
      </c>
      <c r="AC211" s="32">
        <v>80.2</v>
      </c>
      <c r="AD211" s="32">
        <v>88.4</v>
      </c>
      <c r="AE211" s="31" t="s">
        <v>768</v>
      </c>
    </row>
    <row r="212" spans="1:31" s="31" customFormat="1" x14ac:dyDescent="0.25">
      <c r="A212" s="36" t="s">
        <v>769</v>
      </c>
      <c r="B212" s="31" t="s">
        <v>770</v>
      </c>
      <c r="C212" s="31" t="s">
        <v>771</v>
      </c>
      <c r="D212" s="31" t="s">
        <v>750</v>
      </c>
      <c r="E212" s="31" t="s">
        <v>1791</v>
      </c>
      <c r="F212" s="66" t="s">
        <v>1683</v>
      </c>
      <c r="G212" s="66">
        <v>142</v>
      </c>
      <c r="H212" s="31">
        <v>245</v>
      </c>
      <c r="I212" s="31">
        <v>242</v>
      </c>
      <c r="J212" s="31" t="s">
        <v>772</v>
      </c>
      <c r="P212" s="31" t="s">
        <v>114</v>
      </c>
      <c r="Q212" s="31" t="s">
        <v>165</v>
      </c>
      <c r="T212" s="32">
        <v>90.7</v>
      </c>
      <c r="U212" s="32">
        <v>20.633333333333301</v>
      </c>
      <c r="V212" s="32">
        <v>17.3666666666666</v>
      </c>
      <c r="W212" s="32">
        <v>16.1240666666666</v>
      </c>
      <c r="X212" s="32">
        <v>12.966666666666599</v>
      </c>
      <c r="Y212" s="32">
        <v>15.299999999999899</v>
      </c>
      <c r="Z212" s="32">
        <v>11.649999999999901</v>
      </c>
      <c r="AA212" s="32">
        <v>52.3</v>
      </c>
      <c r="AB212" s="33">
        <v>8.3680000000000004E-2</v>
      </c>
      <c r="AC212" s="32">
        <v>86.7</v>
      </c>
      <c r="AD212" s="32">
        <v>83.1</v>
      </c>
      <c r="AE212" s="31" t="s">
        <v>773</v>
      </c>
    </row>
    <row r="213" spans="1:31" s="31" customFormat="1" x14ac:dyDescent="0.25">
      <c r="A213" s="36" t="s">
        <v>774</v>
      </c>
      <c r="B213" s="31" t="s">
        <v>775</v>
      </c>
      <c r="C213" s="31" t="s">
        <v>771</v>
      </c>
      <c r="D213" s="31" t="s">
        <v>750</v>
      </c>
      <c r="E213" s="31" t="s">
        <v>1791</v>
      </c>
      <c r="F213" s="66" t="s">
        <v>1684</v>
      </c>
      <c r="G213" s="66">
        <v>1492</v>
      </c>
      <c r="H213" s="31">
        <v>253</v>
      </c>
      <c r="I213" s="31">
        <v>251</v>
      </c>
      <c r="J213" s="31" t="s">
        <v>776</v>
      </c>
      <c r="P213" s="31" t="s">
        <v>114</v>
      </c>
      <c r="Q213" s="31" t="s">
        <v>165</v>
      </c>
      <c r="T213" s="32">
        <v>90.7</v>
      </c>
      <c r="U213" s="32">
        <v>19.399999999999899</v>
      </c>
      <c r="V213" s="32">
        <v>15.2</v>
      </c>
      <c r="W213" s="32">
        <v>10.55</v>
      </c>
      <c r="X213" s="32">
        <v>12.15</v>
      </c>
      <c r="Y213" s="32">
        <v>9.8000000000000007</v>
      </c>
      <c r="Z213" s="32">
        <v>8.6999999999999904</v>
      </c>
      <c r="AA213" s="32">
        <v>22.95</v>
      </c>
      <c r="AB213" s="33">
        <v>3.6719999999999899E-2</v>
      </c>
      <c r="AC213" s="32">
        <v>76.599999999999994</v>
      </c>
      <c r="AD213" s="32">
        <v>69.400000000000006</v>
      </c>
      <c r="AE213" s="31" t="s">
        <v>777</v>
      </c>
    </row>
    <row r="214" spans="1:31" s="31" customFormat="1" x14ac:dyDescent="0.25">
      <c r="A214" s="36" t="s">
        <v>778</v>
      </c>
      <c r="B214" s="31" t="s">
        <v>779</v>
      </c>
      <c r="C214" s="31" t="s">
        <v>780</v>
      </c>
      <c r="D214" s="31" t="s">
        <v>750</v>
      </c>
      <c r="E214" s="31" t="s">
        <v>1791</v>
      </c>
      <c r="F214" s="66" t="s">
        <v>1685</v>
      </c>
      <c r="G214" s="66" t="s">
        <v>1627</v>
      </c>
      <c r="H214" s="31">
        <v>259</v>
      </c>
      <c r="I214" s="31">
        <v>254</v>
      </c>
      <c r="J214" s="31" t="s">
        <v>781</v>
      </c>
      <c r="K214" s="31" t="s">
        <v>31</v>
      </c>
      <c r="L214" s="31" t="s">
        <v>31</v>
      </c>
      <c r="M214" s="31" t="s">
        <v>31</v>
      </c>
      <c r="N214" s="31" t="s">
        <v>585</v>
      </c>
      <c r="O214" s="31" t="s">
        <v>31</v>
      </c>
      <c r="P214" s="31" t="s">
        <v>32</v>
      </c>
      <c r="Q214" s="31" t="s">
        <v>165</v>
      </c>
      <c r="T214" s="32">
        <v>91.1</v>
      </c>
      <c r="U214" s="32">
        <v>19.45</v>
      </c>
      <c r="V214" s="32">
        <v>13.8</v>
      </c>
      <c r="W214" s="32">
        <v>8.1</v>
      </c>
      <c r="X214" s="32">
        <v>11.149999999999901</v>
      </c>
      <c r="Y214" s="32">
        <v>7.55</v>
      </c>
      <c r="Z214" s="32">
        <v>10.6</v>
      </c>
      <c r="AA214" s="32">
        <v>17.7</v>
      </c>
      <c r="AB214" s="33">
        <v>2.8319999999999901E-2</v>
      </c>
      <c r="AC214" s="32">
        <v>73.8</v>
      </c>
      <c r="AD214" s="32">
        <v>63.9</v>
      </c>
      <c r="AE214" s="31" t="s">
        <v>782</v>
      </c>
    </row>
    <row r="215" spans="1:31" s="31" customFormat="1" x14ac:dyDescent="0.25">
      <c r="A215" s="36" t="s">
        <v>783</v>
      </c>
      <c r="B215" s="31" t="s">
        <v>784</v>
      </c>
      <c r="C215" s="31" t="s">
        <v>771</v>
      </c>
      <c r="D215" s="31" t="s">
        <v>750</v>
      </c>
      <c r="E215" s="31" t="s">
        <v>1791</v>
      </c>
      <c r="F215" s="66" t="s">
        <v>1686</v>
      </c>
      <c r="G215" s="66">
        <v>1445</v>
      </c>
      <c r="H215" s="31">
        <v>269</v>
      </c>
      <c r="I215" s="31">
        <v>267</v>
      </c>
      <c r="J215" s="31" t="s">
        <v>785</v>
      </c>
      <c r="K215" s="31" t="s">
        <v>31</v>
      </c>
      <c r="L215" s="31" t="s">
        <v>31</v>
      </c>
      <c r="M215" s="31" t="s">
        <v>31</v>
      </c>
      <c r="N215" s="31" t="s">
        <v>31</v>
      </c>
      <c r="O215" s="31" t="s">
        <v>31</v>
      </c>
      <c r="P215" s="31" t="s">
        <v>32</v>
      </c>
      <c r="Q215" s="31" t="s">
        <v>165</v>
      </c>
      <c r="T215" s="32">
        <v>89.9</v>
      </c>
      <c r="U215" s="32">
        <v>20</v>
      </c>
      <c r="V215" s="32">
        <v>12.8</v>
      </c>
      <c r="W215" s="32">
        <v>11.025</v>
      </c>
      <c r="X215" s="32">
        <v>9.625</v>
      </c>
      <c r="Y215" s="32">
        <v>10.0749999999999</v>
      </c>
      <c r="Z215" s="32">
        <v>8.6</v>
      </c>
      <c r="AA215" s="32">
        <v>32.324999999999903</v>
      </c>
      <c r="AB215" s="33">
        <v>5.1719999999999898E-2</v>
      </c>
      <c r="AC215" s="31">
        <v>74.8</v>
      </c>
      <c r="AD215" s="59">
        <v>77.7</v>
      </c>
      <c r="AE215" s="31" t="s">
        <v>786</v>
      </c>
    </row>
    <row r="216" spans="1:31" s="31" customFormat="1" x14ac:dyDescent="0.25">
      <c r="A216" s="36" t="s">
        <v>787</v>
      </c>
      <c r="B216" s="31" t="s">
        <v>788</v>
      </c>
      <c r="C216" s="31" t="s">
        <v>1787</v>
      </c>
      <c r="D216" s="31" t="s">
        <v>750</v>
      </c>
      <c r="E216" s="31" t="s">
        <v>1791</v>
      </c>
      <c r="F216" s="66" t="s">
        <v>1687</v>
      </c>
      <c r="G216" s="66" t="s">
        <v>1677</v>
      </c>
      <c r="H216" s="31">
        <v>272</v>
      </c>
      <c r="I216" s="31">
        <v>271</v>
      </c>
      <c r="J216" s="31" t="s">
        <v>789</v>
      </c>
      <c r="K216" s="31" t="s">
        <v>31</v>
      </c>
      <c r="L216" s="31" t="s">
        <v>31</v>
      </c>
      <c r="M216" s="31" t="s">
        <v>31</v>
      </c>
      <c r="N216" s="31" t="s">
        <v>31</v>
      </c>
      <c r="O216" s="31" t="s">
        <v>31</v>
      </c>
      <c r="P216" s="31" t="s">
        <v>32</v>
      </c>
      <c r="Q216" s="31" t="s">
        <v>165</v>
      </c>
      <c r="T216" s="32">
        <v>90.5</v>
      </c>
      <c r="U216" s="32">
        <v>20.350000000000001</v>
      </c>
      <c r="V216" s="32">
        <v>15.637</v>
      </c>
      <c r="W216" s="32">
        <v>14.25</v>
      </c>
      <c r="X216" s="32">
        <v>12.1</v>
      </c>
      <c r="Y216" s="32">
        <v>13.2</v>
      </c>
      <c r="Z216" s="32">
        <v>9.0500000000000007</v>
      </c>
      <c r="AA216" s="32">
        <v>35.9</v>
      </c>
      <c r="AB216" s="33">
        <v>5.7439999999999998E-2</v>
      </c>
      <c r="AC216" s="32">
        <v>77.099999999999994</v>
      </c>
      <c r="AD216" s="32">
        <v>77.8</v>
      </c>
      <c r="AE216" s="31" t="s">
        <v>790</v>
      </c>
    </row>
    <row r="217" spans="1:31" s="31" customFormat="1" x14ac:dyDescent="0.25">
      <c r="A217" s="36" t="s">
        <v>791</v>
      </c>
      <c r="B217" s="31" t="s">
        <v>792</v>
      </c>
      <c r="D217" s="31" t="s">
        <v>750</v>
      </c>
      <c r="E217" s="31" t="s">
        <v>1791</v>
      </c>
      <c r="F217" s="66" t="s">
        <v>1688</v>
      </c>
      <c r="G217" s="66">
        <v>1450</v>
      </c>
      <c r="H217" s="31">
        <v>273</v>
      </c>
      <c r="I217" s="31">
        <v>260</v>
      </c>
      <c r="J217" s="31" t="s">
        <v>793</v>
      </c>
      <c r="Q217" s="31" t="s">
        <v>165</v>
      </c>
      <c r="T217" s="32">
        <v>72.3</v>
      </c>
      <c r="U217" s="32">
        <v>18.66</v>
      </c>
      <c r="V217" s="31">
        <v>7.65</v>
      </c>
      <c r="W217" s="32"/>
      <c r="X217" s="32">
        <v>6.6</v>
      </c>
      <c r="Y217" s="32"/>
      <c r="Z217" s="32"/>
      <c r="AA217" s="32">
        <v>9.93</v>
      </c>
      <c r="AB217" s="41">
        <f>AA217/6.25/100</f>
        <v>1.5887999999999999E-2</v>
      </c>
      <c r="AC217" s="32">
        <v>27.76</v>
      </c>
      <c r="AD217" s="32"/>
      <c r="AE217" s="31" t="s">
        <v>794</v>
      </c>
    </row>
    <row r="218" spans="1:31" s="31" customFormat="1" x14ac:dyDescent="0.25">
      <c r="A218" s="36" t="s">
        <v>795</v>
      </c>
      <c r="B218" s="31" t="s">
        <v>796</v>
      </c>
      <c r="C218" s="31" t="s">
        <v>771</v>
      </c>
      <c r="D218" s="31" t="s">
        <v>750</v>
      </c>
      <c r="E218" s="31" t="s">
        <v>1791</v>
      </c>
      <c r="F218" s="66" t="s">
        <v>1689</v>
      </c>
      <c r="G218" s="66">
        <v>1446</v>
      </c>
      <c r="H218" s="31">
        <v>282</v>
      </c>
      <c r="I218" s="31">
        <v>280</v>
      </c>
      <c r="J218" s="31" t="s">
        <v>797</v>
      </c>
      <c r="P218" s="31" t="s">
        <v>114</v>
      </c>
      <c r="Q218" s="31" t="s">
        <v>165</v>
      </c>
      <c r="T218" s="32">
        <v>93.2</v>
      </c>
      <c r="U218" s="32">
        <v>21.4</v>
      </c>
      <c r="V218" s="32">
        <v>10.229199999999899</v>
      </c>
      <c r="W218" s="32">
        <v>8.1</v>
      </c>
      <c r="X218" s="32">
        <v>8.3000000000000007</v>
      </c>
      <c r="Y218" s="32"/>
      <c r="Z218" s="32"/>
      <c r="AA218" s="32">
        <v>24.8</v>
      </c>
      <c r="AB218" s="33">
        <v>3.968E-2</v>
      </c>
      <c r="AC218" s="32">
        <v>80</v>
      </c>
      <c r="AD218" s="32"/>
      <c r="AE218" s="34" t="s">
        <v>798</v>
      </c>
    </row>
    <row r="219" spans="1:31" s="31" customFormat="1" x14ac:dyDescent="0.25">
      <c r="A219" s="36" t="s">
        <v>799</v>
      </c>
      <c r="B219" s="31" t="s">
        <v>800</v>
      </c>
      <c r="C219" s="31" t="s">
        <v>771</v>
      </c>
      <c r="D219" s="31" t="s">
        <v>750</v>
      </c>
      <c r="E219" s="31" t="s">
        <v>1791</v>
      </c>
      <c r="F219" s="66" t="s">
        <v>1690</v>
      </c>
      <c r="G219" s="66">
        <v>1444</v>
      </c>
      <c r="H219" s="31">
        <v>291</v>
      </c>
      <c r="I219" s="31">
        <v>289</v>
      </c>
      <c r="J219" s="31" t="s">
        <v>801</v>
      </c>
      <c r="K219" s="31" t="s">
        <v>31</v>
      </c>
      <c r="L219" s="31" t="s">
        <v>31</v>
      </c>
      <c r="M219" s="31" t="s">
        <v>31</v>
      </c>
      <c r="N219" s="31" t="s">
        <v>31</v>
      </c>
      <c r="O219" s="31" t="s">
        <v>31</v>
      </c>
      <c r="P219" s="31" t="s">
        <v>32</v>
      </c>
      <c r="Q219" s="31" t="s">
        <v>165</v>
      </c>
      <c r="T219" s="32">
        <v>92.8</v>
      </c>
      <c r="U219" s="32">
        <v>20.6</v>
      </c>
      <c r="V219" s="32">
        <v>16.600000000000001</v>
      </c>
      <c r="W219" s="32">
        <v>15.7</v>
      </c>
      <c r="X219" s="32">
        <v>12.5</v>
      </c>
      <c r="Y219" s="32">
        <v>14.4</v>
      </c>
      <c r="Z219" s="32">
        <v>11.3</v>
      </c>
      <c r="AA219" s="32">
        <v>44.9</v>
      </c>
      <c r="AB219" s="33">
        <v>7.1840000000000001E-2</v>
      </c>
      <c r="AC219" s="32">
        <v>78.400000000000006</v>
      </c>
      <c r="AD219" s="32">
        <v>88.6</v>
      </c>
      <c r="AE219" s="34" t="s">
        <v>802</v>
      </c>
    </row>
    <row r="220" spans="1:31" s="31" customFormat="1" x14ac:dyDescent="0.25">
      <c r="A220" s="36" t="s">
        <v>803</v>
      </c>
      <c r="B220" s="31" t="s">
        <v>804</v>
      </c>
      <c r="C220" s="31" t="s">
        <v>771</v>
      </c>
      <c r="D220" s="31" t="s">
        <v>750</v>
      </c>
      <c r="E220" s="31" t="s">
        <v>1791</v>
      </c>
      <c r="F220" s="66" t="s">
        <v>1691</v>
      </c>
      <c r="G220" s="66">
        <v>1442</v>
      </c>
      <c r="H220" s="31">
        <v>294</v>
      </c>
      <c r="I220" s="31">
        <v>292</v>
      </c>
      <c r="J220" s="31" t="s">
        <v>805</v>
      </c>
      <c r="P220" s="31" t="s">
        <v>114</v>
      </c>
      <c r="Q220" s="31" t="s">
        <v>165</v>
      </c>
      <c r="T220" s="32">
        <v>89.5</v>
      </c>
      <c r="U220" s="32">
        <v>20</v>
      </c>
      <c r="V220" s="32">
        <v>12.64</v>
      </c>
      <c r="W220" s="32">
        <v>12</v>
      </c>
      <c r="X220" s="32">
        <v>10.9</v>
      </c>
      <c r="Y220" s="32">
        <v>11.35</v>
      </c>
      <c r="Z220" s="32">
        <v>7.1</v>
      </c>
      <c r="AA220" s="32">
        <v>18.2</v>
      </c>
      <c r="AB220" s="33">
        <v>2.912E-2</v>
      </c>
      <c r="AC220" s="32">
        <v>71.099999999999994</v>
      </c>
      <c r="AD220" s="32">
        <v>50.1</v>
      </c>
      <c r="AE220" s="34" t="s">
        <v>806</v>
      </c>
    </row>
    <row r="221" spans="1:31" s="31" customFormat="1" x14ac:dyDescent="0.25">
      <c r="A221" s="36" t="s">
        <v>807</v>
      </c>
      <c r="B221" s="31" t="s">
        <v>808</v>
      </c>
      <c r="D221" s="31" t="s">
        <v>750</v>
      </c>
      <c r="E221" s="31" t="s">
        <v>1791</v>
      </c>
      <c r="F221" s="66" t="s">
        <v>1692</v>
      </c>
      <c r="G221" s="66" t="s">
        <v>1693</v>
      </c>
      <c r="H221" s="31">
        <v>314</v>
      </c>
      <c r="I221" s="31">
        <v>310</v>
      </c>
      <c r="K221" s="31" t="s">
        <v>31</v>
      </c>
      <c r="L221" s="31" t="s">
        <v>31</v>
      </c>
      <c r="M221" s="31" t="s">
        <v>31</v>
      </c>
      <c r="N221" s="31" t="s">
        <v>31</v>
      </c>
      <c r="O221" s="31" t="s">
        <v>31</v>
      </c>
      <c r="P221" s="31" t="s">
        <v>32</v>
      </c>
      <c r="Q221" s="31" t="s">
        <v>165</v>
      </c>
      <c r="T221" s="32">
        <v>89.5</v>
      </c>
      <c r="U221" s="32">
        <v>20.399999999999999</v>
      </c>
      <c r="V221" s="32"/>
      <c r="W221" s="32">
        <v>12.7</v>
      </c>
      <c r="X221" s="32">
        <v>9.1</v>
      </c>
      <c r="Y221" s="32"/>
      <c r="Z221" s="32">
        <v>8.8000000000000007</v>
      </c>
      <c r="AA221" s="32">
        <v>34.1</v>
      </c>
      <c r="AB221" s="33"/>
      <c r="AC221" s="32">
        <v>74.099999999999994</v>
      </c>
      <c r="AD221" s="32"/>
      <c r="AE221" s="34" t="s">
        <v>809</v>
      </c>
    </row>
    <row r="222" spans="1:31" s="31" customFormat="1" x14ac:dyDescent="0.25">
      <c r="A222" s="36" t="s">
        <v>810</v>
      </c>
      <c r="B222" s="31" t="s">
        <v>811</v>
      </c>
      <c r="C222" s="31" t="s">
        <v>812</v>
      </c>
      <c r="D222" s="31" t="s">
        <v>750</v>
      </c>
      <c r="E222" s="31" t="s">
        <v>1791</v>
      </c>
      <c r="F222" s="66" t="s">
        <v>1694</v>
      </c>
      <c r="G222" s="66">
        <v>143</v>
      </c>
      <c r="H222" s="31">
        <v>332</v>
      </c>
      <c r="I222" s="31">
        <v>329</v>
      </c>
      <c r="J222" s="31" t="s">
        <v>813</v>
      </c>
      <c r="P222" s="31" t="s">
        <v>32</v>
      </c>
      <c r="Q222" s="31" t="s">
        <v>165</v>
      </c>
      <c r="T222" s="32">
        <v>91.6</v>
      </c>
      <c r="U222" s="32">
        <v>20.65</v>
      </c>
      <c r="V222" s="32">
        <v>15.545</v>
      </c>
      <c r="W222" s="32">
        <v>13.1</v>
      </c>
      <c r="X222" s="32">
        <v>11.7666666666666</v>
      </c>
      <c r="Y222" s="32">
        <v>11.9333333333333</v>
      </c>
      <c r="Z222" s="32">
        <v>9.6999999999999993</v>
      </c>
      <c r="AA222" s="32">
        <v>42.424999999999898</v>
      </c>
      <c r="AB222" s="33">
        <v>6.7879999999999899E-2</v>
      </c>
      <c r="AC222" s="32">
        <v>80.400000000000006</v>
      </c>
      <c r="AD222" s="32">
        <v>73.400000000000006</v>
      </c>
      <c r="AE222" s="31" t="s">
        <v>814</v>
      </c>
    </row>
    <row r="223" spans="1:31" s="31" customFormat="1" x14ac:dyDescent="0.25">
      <c r="A223" s="36" t="s">
        <v>815</v>
      </c>
      <c r="B223" s="31" t="s">
        <v>816</v>
      </c>
      <c r="C223" s="31" t="s">
        <v>771</v>
      </c>
      <c r="D223" s="31" t="s">
        <v>750</v>
      </c>
      <c r="E223" s="31" t="s">
        <v>1791</v>
      </c>
      <c r="F223" s="66" t="s">
        <v>1695</v>
      </c>
      <c r="G223" s="66">
        <v>1441</v>
      </c>
      <c r="H223" s="31">
        <v>335</v>
      </c>
      <c r="I223" s="31">
        <v>333</v>
      </c>
      <c r="J223" s="31" t="s">
        <v>817</v>
      </c>
      <c r="P223" s="31" t="s">
        <v>114</v>
      </c>
      <c r="Q223" s="31" t="s">
        <v>165</v>
      </c>
      <c r="T223" s="32">
        <v>89.1</v>
      </c>
      <c r="U223" s="32">
        <v>19.7</v>
      </c>
      <c r="V223" s="32">
        <v>17.95655</v>
      </c>
      <c r="W223" s="32">
        <v>17.05</v>
      </c>
      <c r="X223" s="32">
        <v>13.35</v>
      </c>
      <c r="Y223" s="32">
        <v>15.55</v>
      </c>
      <c r="Z223" s="32">
        <v>11.05</v>
      </c>
      <c r="AA223" s="32">
        <v>53.9</v>
      </c>
      <c r="AB223" s="33">
        <v>8.6239999999999997E-2</v>
      </c>
      <c r="AC223" s="32">
        <v>76.8</v>
      </c>
      <c r="AD223" s="32">
        <v>87.7</v>
      </c>
      <c r="AE223" s="31" t="s">
        <v>818</v>
      </c>
    </row>
    <row r="224" spans="1:31" s="31" customFormat="1" x14ac:dyDescent="0.25">
      <c r="A224" s="36" t="s">
        <v>819</v>
      </c>
      <c r="B224" s="31" t="s">
        <v>820</v>
      </c>
      <c r="C224" s="31" t="s">
        <v>771</v>
      </c>
      <c r="D224" s="31" t="s">
        <v>750</v>
      </c>
      <c r="E224" s="31" t="s">
        <v>1791</v>
      </c>
      <c r="F224" s="66" t="s">
        <v>1696</v>
      </c>
      <c r="G224" s="66" t="s">
        <v>1625</v>
      </c>
      <c r="H224" s="31">
        <v>338</v>
      </c>
      <c r="I224" s="31">
        <v>336</v>
      </c>
      <c r="J224" s="31" t="s">
        <v>821</v>
      </c>
      <c r="K224" s="31" t="s">
        <v>31</v>
      </c>
      <c r="L224" s="31" t="s">
        <v>31</v>
      </c>
      <c r="O224" s="31" t="s">
        <v>31</v>
      </c>
      <c r="Q224" s="31" t="s">
        <v>165</v>
      </c>
      <c r="T224" s="32">
        <v>90</v>
      </c>
      <c r="U224" s="32">
        <v>20.5</v>
      </c>
      <c r="V224" s="32">
        <v>11.131500000000001</v>
      </c>
      <c r="W224" s="32">
        <v>9.9091000000000005</v>
      </c>
      <c r="X224" s="32">
        <v>9</v>
      </c>
      <c r="Y224" s="32">
        <v>9.75</v>
      </c>
      <c r="Z224" s="32">
        <v>10.25</v>
      </c>
      <c r="AA224" s="32">
        <v>35.549999999999898</v>
      </c>
      <c r="AB224" s="33">
        <v>5.688E-2</v>
      </c>
      <c r="AC224" s="29">
        <v>71.900000000000006</v>
      </c>
      <c r="AD224" s="32">
        <v>55.6</v>
      </c>
      <c r="AE224" s="31" t="s">
        <v>822</v>
      </c>
    </row>
    <row r="225" spans="1:33" s="38" customFormat="1" x14ac:dyDescent="0.25">
      <c r="A225" s="57" t="s">
        <v>823</v>
      </c>
      <c r="B225" s="38" t="s">
        <v>824</v>
      </c>
      <c r="D225" s="38" t="s">
        <v>750</v>
      </c>
      <c r="E225" s="38" t="s">
        <v>1790</v>
      </c>
      <c r="F225" s="68"/>
      <c r="G225" s="68">
        <v>1448</v>
      </c>
      <c r="I225" s="38">
        <v>296</v>
      </c>
      <c r="J225" s="38" t="s">
        <v>825</v>
      </c>
      <c r="K225" s="38" t="s">
        <v>31</v>
      </c>
      <c r="L225" s="38" t="s">
        <v>31</v>
      </c>
      <c r="M225" s="38" t="s">
        <v>31</v>
      </c>
      <c r="N225" s="38" t="s">
        <v>31</v>
      </c>
      <c r="O225" s="38" t="s">
        <v>31</v>
      </c>
      <c r="P225" s="38" t="s">
        <v>32</v>
      </c>
      <c r="Q225" s="38" t="s">
        <v>39</v>
      </c>
      <c r="T225" s="39">
        <v>91.15</v>
      </c>
      <c r="U225" s="39">
        <v>19</v>
      </c>
      <c r="V225" s="39">
        <v>14.4</v>
      </c>
      <c r="W225" s="39">
        <v>11.8</v>
      </c>
      <c r="X225" s="38">
        <v>11</v>
      </c>
      <c r="Y225" s="39">
        <v>11.7</v>
      </c>
      <c r="Z225" s="39"/>
      <c r="AA225" s="39">
        <v>29.6</v>
      </c>
      <c r="AB225" s="40">
        <f>AA225/6.25/100</f>
        <v>4.7360000000000006E-2</v>
      </c>
      <c r="AC225" s="39">
        <v>79.099999999999994</v>
      </c>
      <c r="AD225" s="39"/>
      <c r="AE225" s="38" t="s">
        <v>826</v>
      </c>
      <c r="AG225" s="38" t="s">
        <v>369</v>
      </c>
    </row>
    <row r="226" spans="1:33" s="31" customFormat="1" x14ac:dyDescent="0.25">
      <c r="A226" s="36" t="s">
        <v>827</v>
      </c>
      <c r="B226" s="31" t="s">
        <v>828</v>
      </c>
      <c r="C226" s="31" t="s">
        <v>771</v>
      </c>
      <c r="D226" s="31" t="s">
        <v>750</v>
      </c>
      <c r="E226" s="31" t="s">
        <v>1791</v>
      </c>
      <c r="F226" s="66" t="s">
        <v>1697</v>
      </c>
      <c r="G226" s="66" t="s">
        <v>1626</v>
      </c>
      <c r="H226" s="31">
        <v>341</v>
      </c>
      <c r="I226" s="31">
        <v>339</v>
      </c>
      <c r="J226" s="31" t="s">
        <v>829</v>
      </c>
      <c r="P226" s="31" t="s">
        <v>114</v>
      </c>
      <c r="Q226" s="31" t="s">
        <v>165</v>
      </c>
      <c r="T226" s="65">
        <v>89.286470588235289</v>
      </c>
      <c r="U226" s="53">
        <v>19.987843137254888</v>
      </c>
      <c r="V226" s="53">
        <v>13.813279166666655</v>
      </c>
      <c r="W226" s="53">
        <v>12.426135416666662</v>
      </c>
      <c r="X226" s="53">
        <v>10.692843137254886</v>
      </c>
      <c r="Y226" s="53">
        <v>12.206794871794852</v>
      </c>
      <c r="Z226" s="53">
        <v>9.8576923076922967</v>
      </c>
      <c r="AA226" s="53">
        <v>31.7441176470588</v>
      </c>
      <c r="AB226" s="63">
        <v>5.0554999999999975E-2</v>
      </c>
      <c r="AC226" s="53">
        <v>69.69</v>
      </c>
      <c r="AD226" s="53">
        <v>73.591666666666669</v>
      </c>
      <c r="AE226" s="31" t="s">
        <v>830</v>
      </c>
    </row>
    <row r="227" spans="1:33" s="28" customFormat="1" x14ac:dyDescent="0.25">
      <c r="A227" s="61" t="s">
        <v>831</v>
      </c>
      <c r="B227" s="28" t="s">
        <v>832</v>
      </c>
      <c r="D227" s="28" t="s">
        <v>750</v>
      </c>
      <c r="E227" s="28" t="s">
        <v>1789</v>
      </c>
      <c r="F227" s="69">
        <v>21920</v>
      </c>
      <c r="G227" s="69"/>
      <c r="T227" s="29"/>
      <c r="U227" s="29"/>
      <c r="V227" s="29"/>
      <c r="W227" s="29"/>
      <c r="X227" s="29"/>
      <c r="Y227" s="29"/>
      <c r="Z227" s="29"/>
      <c r="AA227" s="29"/>
      <c r="AB227" s="30"/>
      <c r="AC227" s="29"/>
      <c r="AD227" s="29"/>
    </row>
    <row r="228" spans="1:33" s="28" customFormat="1" x14ac:dyDescent="0.25">
      <c r="A228" s="61" t="s">
        <v>833</v>
      </c>
      <c r="B228" s="28" t="s">
        <v>834</v>
      </c>
      <c r="D228" s="28" t="s">
        <v>638</v>
      </c>
      <c r="E228" s="28" t="s">
        <v>1789</v>
      </c>
      <c r="F228" s="69" t="s">
        <v>1698</v>
      </c>
      <c r="G228" s="69"/>
      <c r="T228" s="29"/>
      <c r="U228" s="29"/>
      <c r="V228" s="29"/>
      <c r="W228" s="29"/>
      <c r="X228" s="29"/>
      <c r="Y228" s="29"/>
      <c r="Z228" s="29"/>
      <c r="AA228" s="29"/>
      <c r="AB228" s="30"/>
      <c r="AC228" s="29"/>
      <c r="AD228" s="29"/>
    </row>
    <row r="229" spans="1:33" s="28" customFormat="1" x14ac:dyDescent="0.25">
      <c r="A229" s="61" t="s">
        <v>835</v>
      </c>
      <c r="B229" s="28" t="s">
        <v>836</v>
      </c>
      <c r="D229" s="28" t="s">
        <v>638</v>
      </c>
      <c r="E229" s="28" t="s">
        <v>1789</v>
      </c>
      <c r="F229" s="69" t="s">
        <v>1699</v>
      </c>
      <c r="G229" s="69"/>
      <c r="T229" s="29"/>
      <c r="U229" s="29"/>
      <c r="V229" s="29"/>
      <c r="W229" s="29"/>
      <c r="X229" s="29"/>
      <c r="Y229" s="29"/>
      <c r="Z229" s="29"/>
      <c r="AA229" s="29"/>
      <c r="AB229" s="30"/>
      <c r="AC229" s="29"/>
      <c r="AD229" s="29"/>
    </row>
    <row r="230" spans="1:33" s="28" customFormat="1" x14ac:dyDescent="0.25">
      <c r="A230" s="61" t="s">
        <v>837</v>
      </c>
      <c r="B230" s="28" t="s">
        <v>838</v>
      </c>
      <c r="D230" s="28" t="s">
        <v>638</v>
      </c>
      <c r="E230" s="28" t="s">
        <v>1789</v>
      </c>
      <c r="F230" s="69" t="s">
        <v>1700</v>
      </c>
      <c r="G230" s="69"/>
      <c r="T230" s="29"/>
      <c r="U230" s="29"/>
      <c r="V230" s="29"/>
      <c r="W230" s="29"/>
      <c r="X230" s="29"/>
      <c r="Y230" s="29"/>
      <c r="Z230" s="29"/>
      <c r="AA230" s="29"/>
      <c r="AB230" s="30"/>
      <c r="AC230" s="29"/>
      <c r="AD230" s="29"/>
    </row>
    <row r="231" spans="1:33" s="28" customFormat="1" x14ac:dyDescent="0.25">
      <c r="A231" s="61" t="s">
        <v>839</v>
      </c>
      <c r="B231" s="28" t="s">
        <v>840</v>
      </c>
      <c r="D231" s="28" t="s">
        <v>638</v>
      </c>
      <c r="E231" s="28" t="s">
        <v>1789</v>
      </c>
      <c r="F231" s="69" t="s">
        <v>1701</v>
      </c>
      <c r="G231" s="69"/>
      <c r="T231" s="29"/>
      <c r="U231" s="29"/>
      <c r="V231" s="29"/>
      <c r="W231" s="29"/>
      <c r="X231" s="29"/>
      <c r="Y231" s="29"/>
      <c r="Z231" s="29"/>
      <c r="AA231" s="29"/>
      <c r="AB231" s="30"/>
      <c r="AC231" s="29"/>
      <c r="AD231" s="29"/>
    </row>
    <row r="232" spans="1:33" s="31" customFormat="1" x14ac:dyDescent="0.25">
      <c r="A232" s="36" t="s">
        <v>841</v>
      </c>
      <c r="B232" s="31" t="s">
        <v>842</v>
      </c>
      <c r="D232" s="31" t="s">
        <v>638</v>
      </c>
      <c r="E232" s="31" t="s">
        <v>1791</v>
      </c>
      <c r="F232" s="66" t="s">
        <v>1702</v>
      </c>
      <c r="G232" s="66" t="s">
        <v>237</v>
      </c>
      <c r="H232" s="31">
        <v>900</v>
      </c>
      <c r="I232" s="31" t="s">
        <v>237</v>
      </c>
      <c r="Q232" s="31" t="s">
        <v>39</v>
      </c>
      <c r="T232" s="32">
        <v>97.05</v>
      </c>
      <c r="U232" s="32">
        <v>15.75</v>
      </c>
      <c r="V232" s="32">
        <v>14.35</v>
      </c>
      <c r="W232" s="32">
        <v>14.95</v>
      </c>
      <c r="X232" s="32">
        <v>12.05</v>
      </c>
      <c r="Y232" s="32">
        <v>14.5</v>
      </c>
      <c r="Z232" s="32">
        <v>12.1</v>
      </c>
      <c r="AA232" s="32">
        <v>10.9</v>
      </c>
      <c r="AB232" s="33">
        <f>AA232/6.25/100</f>
        <v>1.7440000000000001E-2</v>
      </c>
      <c r="AC232" s="32">
        <v>72.55</v>
      </c>
      <c r="AD232" s="32"/>
      <c r="AE232" s="31" t="s">
        <v>843</v>
      </c>
    </row>
    <row r="233" spans="1:33" s="31" customFormat="1" x14ac:dyDescent="0.25">
      <c r="A233" s="36" t="s">
        <v>844</v>
      </c>
      <c r="B233" s="31" t="s">
        <v>845</v>
      </c>
      <c r="D233" s="31" t="s">
        <v>638</v>
      </c>
      <c r="E233" s="31" t="s">
        <v>1791</v>
      </c>
      <c r="F233" s="66" t="s">
        <v>1703</v>
      </c>
      <c r="G233" s="66" t="s">
        <v>237</v>
      </c>
      <c r="H233" s="31">
        <v>890</v>
      </c>
      <c r="I233" s="31" t="s">
        <v>237</v>
      </c>
      <c r="J233" s="31" t="s">
        <v>846</v>
      </c>
      <c r="Q233" s="31" t="s">
        <v>39</v>
      </c>
      <c r="T233" s="32">
        <v>97.7</v>
      </c>
      <c r="U233" s="32">
        <v>15.6</v>
      </c>
      <c r="V233" s="32">
        <f>U233*0.92</f>
        <v>14.352</v>
      </c>
      <c r="W233" s="32">
        <v>15.2</v>
      </c>
      <c r="X233" s="32">
        <v>11.7</v>
      </c>
      <c r="Y233" s="32">
        <v>14.8</v>
      </c>
      <c r="Z233" s="32">
        <v>8.1</v>
      </c>
      <c r="AA233" s="32">
        <v>5.8</v>
      </c>
      <c r="AB233" s="33">
        <f>AA233/6.25/100</f>
        <v>9.2800000000000001E-3</v>
      </c>
      <c r="AC233" s="32">
        <v>64.099999999999994</v>
      </c>
      <c r="AD233" s="32">
        <v>95</v>
      </c>
      <c r="AE233" s="31" t="s">
        <v>847</v>
      </c>
      <c r="AG233" s="24" t="s">
        <v>848</v>
      </c>
    </row>
    <row r="234" spans="1:33" s="31" customFormat="1" x14ac:dyDescent="0.25">
      <c r="A234" s="36" t="s">
        <v>849</v>
      </c>
      <c r="B234" s="31" t="s">
        <v>850</v>
      </c>
      <c r="D234" s="31" t="s">
        <v>638</v>
      </c>
      <c r="E234" s="31" t="s">
        <v>1791</v>
      </c>
      <c r="F234" s="66">
        <v>22211</v>
      </c>
      <c r="G234" s="66" t="s">
        <v>237</v>
      </c>
      <c r="H234" s="31">
        <v>897</v>
      </c>
      <c r="I234" s="31" t="s">
        <v>237</v>
      </c>
      <c r="J234" s="31" t="s">
        <v>851</v>
      </c>
      <c r="Q234" s="31" t="s">
        <v>852</v>
      </c>
      <c r="T234" s="32">
        <v>96</v>
      </c>
      <c r="U234" s="32">
        <v>23.2</v>
      </c>
      <c r="V234" s="32">
        <f>U234/0.93</f>
        <v>24.946236559139784</v>
      </c>
      <c r="W234" s="32">
        <v>21.5</v>
      </c>
      <c r="X234" s="32">
        <v>18.8</v>
      </c>
      <c r="Y234" s="32">
        <v>20.7</v>
      </c>
      <c r="Z234" s="32">
        <v>16</v>
      </c>
      <c r="AA234" s="32">
        <v>25.4</v>
      </c>
      <c r="AB234" s="33">
        <f>AA234/6.25/100</f>
        <v>4.0640000000000003E-2</v>
      </c>
      <c r="AC234" s="32">
        <v>95</v>
      </c>
      <c r="AD234" s="32">
        <v>95</v>
      </c>
      <c r="AE234" s="31" t="s">
        <v>853</v>
      </c>
    </row>
    <row r="235" spans="1:33" s="31" customFormat="1" x14ac:dyDescent="0.25">
      <c r="A235" s="36" t="s">
        <v>854</v>
      </c>
      <c r="B235" s="31" t="s">
        <v>855</v>
      </c>
      <c r="D235" s="31" t="s">
        <v>638</v>
      </c>
      <c r="E235" s="31" t="s">
        <v>1791</v>
      </c>
      <c r="F235" s="66">
        <v>22212</v>
      </c>
      <c r="G235" s="66" t="s">
        <v>237</v>
      </c>
      <c r="H235" s="31">
        <v>898</v>
      </c>
      <c r="I235" s="31" t="s">
        <v>237</v>
      </c>
      <c r="J235" s="31" t="s">
        <v>856</v>
      </c>
      <c r="Q235" s="31" t="s">
        <v>852</v>
      </c>
      <c r="T235" s="32">
        <v>94.8</v>
      </c>
      <c r="U235" s="32">
        <v>18.3</v>
      </c>
      <c r="V235" s="32">
        <f>U235/0.93</f>
        <v>19.677419354838708</v>
      </c>
      <c r="W235" s="32">
        <v>17.600000000000001</v>
      </c>
      <c r="X235" s="32">
        <v>13.7</v>
      </c>
      <c r="Y235" s="32">
        <v>16.600000000000001</v>
      </c>
      <c r="Z235" s="32"/>
      <c r="AA235" s="32">
        <v>34.1</v>
      </c>
      <c r="AB235" s="33">
        <f>AA235/6.25/100</f>
        <v>5.4560000000000004E-2</v>
      </c>
      <c r="AC235" s="32">
        <v>79.599999999999994</v>
      </c>
      <c r="AD235" s="32">
        <v>95</v>
      </c>
      <c r="AE235" s="31" t="s">
        <v>857</v>
      </c>
    </row>
    <row r="236" spans="1:33" s="28" customFormat="1" x14ac:dyDescent="0.25">
      <c r="A236" s="61" t="s">
        <v>858</v>
      </c>
      <c r="B236" s="28" t="s">
        <v>859</v>
      </c>
      <c r="D236" s="28" t="s">
        <v>638</v>
      </c>
      <c r="E236" s="28" t="s">
        <v>1789</v>
      </c>
      <c r="F236" s="69" t="s">
        <v>1704</v>
      </c>
      <c r="G236" s="69"/>
      <c r="T236" s="29"/>
      <c r="U236" s="29"/>
      <c r="V236" s="29"/>
      <c r="W236" s="29"/>
      <c r="X236" s="29"/>
      <c r="Y236" s="29"/>
      <c r="Z236" s="29"/>
      <c r="AA236" s="29"/>
      <c r="AB236" s="30"/>
      <c r="AC236" s="29"/>
      <c r="AD236" s="29"/>
    </row>
    <row r="237" spans="1:33" s="28" customFormat="1" x14ac:dyDescent="0.25">
      <c r="A237" s="61" t="s">
        <v>860</v>
      </c>
      <c r="B237" s="28" t="s">
        <v>861</v>
      </c>
      <c r="D237" s="28" t="s">
        <v>638</v>
      </c>
      <c r="E237" s="28" t="s">
        <v>1789</v>
      </c>
      <c r="F237" s="69" t="s">
        <v>1705</v>
      </c>
      <c r="G237" s="69"/>
      <c r="T237" s="29"/>
      <c r="U237" s="29"/>
      <c r="V237" s="29"/>
      <c r="W237" s="29"/>
      <c r="X237" s="29"/>
      <c r="Y237" s="29"/>
      <c r="Z237" s="29"/>
      <c r="AA237" s="29"/>
      <c r="AB237" s="30"/>
      <c r="AC237" s="29"/>
      <c r="AD237" s="29"/>
    </row>
    <row r="238" spans="1:33" s="28" customFormat="1" x14ac:dyDescent="0.25">
      <c r="A238" s="61" t="s">
        <v>862</v>
      </c>
      <c r="B238" s="28" t="s">
        <v>863</v>
      </c>
      <c r="D238" s="28" t="s">
        <v>638</v>
      </c>
      <c r="E238" s="28" t="s">
        <v>1789</v>
      </c>
      <c r="F238" s="69" t="s">
        <v>1706</v>
      </c>
      <c r="G238" s="69"/>
      <c r="T238" s="29"/>
      <c r="U238" s="29"/>
      <c r="V238" s="29"/>
      <c r="W238" s="29"/>
      <c r="X238" s="29"/>
      <c r="Y238" s="29"/>
      <c r="Z238" s="29"/>
      <c r="AA238" s="29"/>
      <c r="AB238" s="30"/>
      <c r="AC238" s="29"/>
      <c r="AD238" s="29"/>
    </row>
    <row r="239" spans="1:33" s="28" customFormat="1" x14ac:dyDescent="0.25">
      <c r="A239" s="61" t="s">
        <v>864</v>
      </c>
      <c r="B239" s="28" t="s">
        <v>865</v>
      </c>
      <c r="D239" s="28" t="s">
        <v>638</v>
      </c>
      <c r="E239" s="28" t="s">
        <v>1789</v>
      </c>
      <c r="F239" s="69" t="s">
        <v>1707</v>
      </c>
      <c r="G239" s="69"/>
      <c r="T239" s="29"/>
      <c r="U239" s="29"/>
      <c r="V239" s="29"/>
      <c r="W239" s="29"/>
      <c r="X239" s="29"/>
      <c r="Y239" s="29"/>
      <c r="Z239" s="29"/>
      <c r="AA239" s="29"/>
      <c r="AB239" s="30"/>
      <c r="AC239" s="29"/>
      <c r="AD239" s="29"/>
    </row>
    <row r="240" spans="1:33" s="28" customFormat="1" x14ac:dyDescent="0.25">
      <c r="A240" s="61" t="s">
        <v>866</v>
      </c>
      <c r="B240" s="28" t="s">
        <v>867</v>
      </c>
      <c r="D240" s="28" t="s">
        <v>638</v>
      </c>
      <c r="E240" s="28" t="s">
        <v>1789</v>
      </c>
      <c r="F240" s="69" t="s">
        <v>1708</v>
      </c>
      <c r="G240" s="69"/>
      <c r="T240" s="29"/>
      <c r="U240" s="29"/>
      <c r="V240" s="29"/>
      <c r="W240" s="29"/>
      <c r="X240" s="29"/>
      <c r="Y240" s="29"/>
      <c r="Z240" s="29"/>
      <c r="AA240" s="29"/>
      <c r="AB240" s="30"/>
      <c r="AC240" s="29"/>
      <c r="AD240" s="29"/>
    </row>
    <row r="241" spans="1:31" s="28" customFormat="1" x14ac:dyDescent="0.25">
      <c r="A241" s="61" t="s">
        <v>868</v>
      </c>
      <c r="B241" s="28" t="s">
        <v>869</v>
      </c>
      <c r="D241" s="28" t="s">
        <v>638</v>
      </c>
      <c r="E241" s="28" t="s">
        <v>1789</v>
      </c>
      <c r="F241" s="69" t="s">
        <v>1709</v>
      </c>
      <c r="G241" s="69"/>
      <c r="T241" s="29"/>
      <c r="U241" s="29"/>
      <c r="V241" s="29"/>
      <c r="W241" s="29"/>
      <c r="X241" s="29"/>
      <c r="Y241" s="29"/>
      <c r="Z241" s="29"/>
      <c r="AA241" s="29"/>
      <c r="AB241" s="30"/>
      <c r="AC241" s="29"/>
      <c r="AD241" s="29"/>
    </row>
    <row r="242" spans="1:31" s="28" customFormat="1" x14ac:dyDescent="0.25">
      <c r="A242" s="61" t="s">
        <v>870</v>
      </c>
      <c r="B242" s="28" t="s">
        <v>871</v>
      </c>
      <c r="D242" s="28" t="s">
        <v>638</v>
      </c>
      <c r="E242" s="28" t="s">
        <v>1789</v>
      </c>
      <c r="F242" s="69" t="s">
        <v>1710</v>
      </c>
      <c r="G242" s="69"/>
      <c r="T242" s="29"/>
      <c r="U242" s="29"/>
      <c r="V242" s="29"/>
      <c r="W242" s="29"/>
      <c r="X242" s="29"/>
      <c r="Y242" s="29"/>
      <c r="Z242" s="29"/>
      <c r="AA242" s="29"/>
      <c r="AB242" s="30"/>
      <c r="AC242" s="29"/>
      <c r="AD242" s="29"/>
    </row>
    <row r="243" spans="1:31" s="28" customFormat="1" x14ac:dyDescent="0.25">
      <c r="A243" s="61" t="s">
        <v>872</v>
      </c>
      <c r="B243" s="28" t="s">
        <v>873</v>
      </c>
      <c r="D243" s="28" t="s">
        <v>638</v>
      </c>
      <c r="E243" s="28" t="s">
        <v>1789</v>
      </c>
      <c r="F243" s="69" t="s">
        <v>1711</v>
      </c>
      <c r="G243" s="69"/>
      <c r="T243" s="29"/>
      <c r="U243" s="29"/>
      <c r="V243" s="29"/>
      <c r="W243" s="29"/>
      <c r="X243" s="29"/>
      <c r="Y243" s="29"/>
      <c r="Z243" s="29"/>
      <c r="AA243" s="29"/>
      <c r="AB243" s="30"/>
      <c r="AC243" s="29"/>
      <c r="AD243" s="29"/>
    </row>
    <row r="244" spans="1:31" s="28" customFormat="1" x14ac:dyDescent="0.25">
      <c r="A244" s="61" t="s">
        <v>874</v>
      </c>
      <c r="B244" s="28" t="s">
        <v>875</v>
      </c>
      <c r="D244" s="28" t="s">
        <v>638</v>
      </c>
      <c r="E244" s="28" t="s">
        <v>1789</v>
      </c>
      <c r="F244" s="69" t="s">
        <v>1712</v>
      </c>
      <c r="G244" s="69"/>
      <c r="T244" s="29"/>
      <c r="U244" s="29"/>
      <c r="V244" s="29"/>
      <c r="W244" s="29"/>
      <c r="X244" s="29"/>
      <c r="Y244" s="29"/>
      <c r="Z244" s="29"/>
      <c r="AA244" s="29"/>
      <c r="AB244" s="30"/>
      <c r="AC244" s="29"/>
      <c r="AD244" s="29"/>
    </row>
    <row r="245" spans="1:31" s="28" customFormat="1" x14ac:dyDescent="0.25">
      <c r="A245" s="61" t="s">
        <v>876</v>
      </c>
      <c r="B245" s="28" t="s">
        <v>877</v>
      </c>
      <c r="D245" s="28" t="s">
        <v>638</v>
      </c>
      <c r="E245" s="28" t="s">
        <v>1789</v>
      </c>
      <c r="F245" s="69">
        <v>22260</v>
      </c>
      <c r="G245" s="69"/>
      <c r="T245" s="29"/>
      <c r="U245" s="29"/>
      <c r="V245" s="29"/>
      <c r="W245" s="29"/>
      <c r="X245" s="29"/>
      <c r="Y245" s="29"/>
      <c r="Z245" s="29"/>
      <c r="AA245" s="29"/>
      <c r="AB245" s="30"/>
      <c r="AC245" s="29"/>
      <c r="AD245" s="29"/>
    </row>
    <row r="246" spans="1:31" s="28" customFormat="1" x14ac:dyDescent="0.25">
      <c r="A246" s="61" t="s">
        <v>878</v>
      </c>
      <c r="B246" s="28" t="s">
        <v>879</v>
      </c>
      <c r="D246" s="28" t="s">
        <v>638</v>
      </c>
      <c r="E246" s="28" t="s">
        <v>1789</v>
      </c>
      <c r="F246" s="69">
        <v>22290</v>
      </c>
      <c r="G246" s="69"/>
      <c r="T246" s="29"/>
      <c r="U246" s="29"/>
      <c r="V246" s="29"/>
      <c r="W246" s="29"/>
      <c r="X246" s="29"/>
      <c r="Y246" s="29"/>
      <c r="Z246" s="29"/>
      <c r="AA246" s="29"/>
      <c r="AB246" s="30"/>
      <c r="AC246" s="29"/>
      <c r="AD246" s="29"/>
    </row>
    <row r="247" spans="1:31" s="28" customFormat="1" x14ac:dyDescent="0.25">
      <c r="A247" s="61" t="s">
        <v>880</v>
      </c>
      <c r="B247" s="28" t="s">
        <v>881</v>
      </c>
      <c r="D247" s="28" t="s">
        <v>152</v>
      </c>
      <c r="E247" s="28" t="s">
        <v>1789</v>
      </c>
      <c r="F247" s="69">
        <v>23110</v>
      </c>
      <c r="G247" s="69"/>
      <c r="T247" s="29"/>
      <c r="U247" s="29"/>
      <c r="V247" s="29"/>
      <c r="W247" s="29"/>
      <c r="X247" s="29"/>
      <c r="Y247" s="29"/>
      <c r="Z247" s="29"/>
      <c r="AA247" s="29"/>
      <c r="AB247" s="30"/>
      <c r="AC247" s="29"/>
      <c r="AD247" s="29"/>
    </row>
    <row r="248" spans="1:31" s="28" customFormat="1" x14ac:dyDescent="0.25">
      <c r="A248" s="61" t="s">
        <v>882</v>
      </c>
      <c r="B248" s="28" t="s">
        <v>883</v>
      </c>
      <c r="D248" s="28" t="s">
        <v>152</v>
      </c>
      <c r="E248" s="28" t="s">
        <v>1789</v>
      </c>
      <c r="F248" s="69" t="s">
        <v>1713</v>
      </c>
      <c r="G248" s="69"/>
      <c r="T248" s="29"/>
      <c r="U248" s="29"/>
      <c r="V248" s="29"/>
      <c r="W248" s="29"/>
      <c r="X248" s="29"/>
      <c r="Y248" s="29"/>
      <c r="Z248" s="29"/>
      <c r="AA248" s="29"/>
      <c r="AB248" s="30"/>
      <c r="AC248" s="29"/>
      <c r="AD248" s="29"/>
    </row>
    <row r="249" spans="1:31" s="28" customFormat="1" x14ac:dyDescent="0.25">
      <c r="A249" s="61" t="s">
        <v>884</v>
      </c>
      <c r="B249" s="28" t="s">
        <v>885</v>
      </c>
      <c r="D249" s="28" t="s">
        <v>152</v>
      </c>
      <c r="E249" s="28" t="s">
        <v>1789</v>
      </c>
      <c r="F249" s="69" t="s">
        <v>1714</v>
      </c>
      <c r="G249" s="69"/>
      <c r="T249" s="29"/>
      <c r="U249" s="29"/>
      <c r="V249" s="29"/>
      <c r="W249" s="29"/>
      <c r="X249" s="29"/>
      <c r="Y249" s="29"/>
      <c r="Z249" s="29"/>
      <c r="AA249" s="29"/>
      <c r="AB249" s="30"/>
      <c r="AC249" s="29"/>
      <c r="AD249" s="29"/>
    </row>
    <row r="250" spans="1:31" s="28" customFormat="1" x14ac:dyDescent="0.25">
      <c r="A250" s="61" t="s">
        <v>886</v>
      </c>
      <c r="B250" s="28" t="s">
        <v>887</v>
      </c>
      <c r="D250" s="28" t="s">
        <v>152</v>
      </c>
      <c r="E250" s="28" t="s">
        <v>1789</v>
      </c>
      <c r="F250" s="69" t="s">
        <v>1715</v>
      </c>
      <c r="G250" s="69"/>
      <c r="T250" s="29"/>
      <c r="U250" s="29"/>
      <c r="V250" s="29"/>
      <c r="W250" s="29"/>
      <c r="X250" s="29"/>
      <c r="Y250" s="29"/>
      <c r="Z250" s="29"/>
      <c r="AA250" s="29"/>
      <c r="AB250" s="30"/>
      <c r="AC250" s="29"/>
      <c r="AD250" s="29"/>
    </row>
    <row r="251" spans="1:31" s="28" customFormat="1" x14ac:dyDescent="0.25">
      <c r="A251" s="61" t="s">
        <v>888</v>
      </c>
      <c r="B251" s="28" t="s">
        <v>889</v>
      </c>
      <c r="D251" s="28" t="s">
        <v>152</v>
      </c>
      <c r="E251" s="28" t="s">
        <v>1789</v>
      </c>
      <c r="F251" s="69" t="s">
        <v>1716</v>
      </c>
      <c r="G251" s="69"/>
      <c r="T251" s="29"/>
      <c r="U251" s="29"/>
      <c r="V251" s="29"/>
      <c r="W251" s="29"/>
      <c r="X251" s="29"/>
      <c r="Y251" s="29"/>
      <c r="Z251" s="29"/>
      <c r="AA251" s="29"/>
      <c r="AB251" s="30"/>
      <c r="AC251" s="29"/>
      <c r="AD251" s="29"/>
    </row>
    <row r="252" spans="1:31" s="28" customFormat="1" x14ac:dyDescent="0.25">
      <c r="A252" s="61" t="s">
        <v>890</v>
      </c>
      <c r="B252" s="28" t="s">
        <v>891</v>
      </c>
      <c r="D252" s="28" t="s">
        <v>152</v>
      </c>
      <c r="E252" s="28" t="s">
        <v>1789</v>
      </c>
      <c r="F252" s="69" t="s">
        <v>1717</v>
      </c>
      <c r="G252" s="69"/>
      <c r="T252" s="29"/>
      <c r="U252" s="29"/>
      <c r="V252" s="29"/>
      <c r="W252" s="29"/>
      <c r="X252" s="29"/>
      <c r="Y252" s="29"/>
      <c r="Z252" s="29"/>
      <c r="AA252" s="29"/>
      <c r="AB252" s="30"/>
      <c r="AC252" s="29"/>
      <c r="AD252" s="29"/>
    </row>
    <row r="253" spans="1:31" s="28" customFormat="1" x14ac:dyDescent="0.25">
      <c r="A253" s="61" t="s">
        <v>892</v>
      </c>
      <c r="B253" s="28" t="s">
        <v>893</v>
      </c>
      <c r="D253" s="28" t="s">
        <v>152</v>
      </c>
      <c r="E253" s="28" t="s">
        <v>1789</v>
      </c>
      <c r="F253" s="69" t="s">
        <v>1718</v>
      </c>
      <c r="G253" s="69">
        <v>114</v>
      </c>
      <c r="I253" s="28">
        <v>83</v>
      </c>
      <c r="T253" s="29"/>
      <c r="U253" s="29"/>
      <c r="V253" s="29"/>
      <c r="W253" s="29"/>
      <c r="X253" s="29"/>
      <c r="Y253" s="29"/>
      <c r="Z253" s="29"/>
      <c r="AA253" s="29"/>
      <c r="AB253" s="30"/>
      <c r="AC253" s="29"/>
      <c r="AD253" s="29"/>
    </row>
    <row r="254" spans="1:31" s="28" customFormat="1" x14ac:dyDescent="0.25">
      <c r="A254" s="61" t="s">
        <v>894</v>
      </c>
      <c r="B254" s="28" t="s">
        <v>895</v>
      </c>
      <c r="D254" s="28" t="s">
        <v>152</v>
      </c>
      <c r="E254" s="28" t="s">
        <v>1789</v>
      </c>
      <c r="F254" s="69" t="s">
        <v>1719</v>
      </c>
      <c r="G254" s="69"/>
      <c r="T254" s="29"/>
      <c r="U254" s="29"/>
      <c r="V254" s="29"/>
      <c r="W254" s="29"/>
      <c r="X254" s="29"/>
      <c r="Y254" s="29"/>
      <c r="Z254" s="29"/>
      <c r="AA254" s="29"/>
      <c r="AB254" s="30"/>
      <c r="AC254" s="29"/>
      <c r="AD254" s="29"/>
    </row>
    <row r="255" spans="1:31" s="28" customFormat="1" x14ac:dyDescent="0.25">
      <c r="A255" s="61" t="s">
        <v>896</v>
      </c>
      <c r="B255" s="28" t="s">
        <v>897</v>
      </c>
      <c r="D255" s="28" t="s">
        <v>152</v>
      </c>
      <c r="E255" s="28" t="s">
        <v>1789</v>
      </c>
      <c r="F255" s="69" t="s">
        <v>1720</v>
      </c>
      <c r="G255" s="69"/>
      <c r="T255" s="29"/>
      <c r="U255" s="29"/>
      <c r="V255" s="29"/>
      <c r="W255" s="29"/>
      <c r="X255" s="29"/>
      <c r="Y255" s="29"/>
      <c r="Z255" s="29"/>
      <c r="AA255" s="29"/>
      <c r="AB255" s="30"/>
      <c r="AC255" s="29"/>
      <c r="AD255" s="29"/>
    </row>
    <row r="256" spans="1:31" s="31" customFormat="1" x14ac:dyDescent="0.25">
      <c r="A256" s="36" t="s">
        <v>898</v>
      </c>
      <c r="B256" s="31" t="s">
        <v>899</v>
      </c>
      <c r="D256" s="31" t="s">
        <v>152</v>
      </c>
      <c r="E256" s="31" t="s">
        <v>1791</v>
      </c>
      <c r="F256" s="66" t="s">
        <v>1721</v>
      </c>
      <c r="G256" s="66">
        <v>111</v>
      </c>
      <c r="H256" s="31">
        <v>19</v>
      </c>
      <c r="I256" s="31">
        <v>15</v>
      </c>
      <c r="Q256" s="31" t="s">
        <v>165</v>
      </c>
      <c r="T256" s="32">
        <v>88.7</v>
      </c>
      <c r="U256" s="32">
        <v>20.6</v>
      </c>
      <c r="V256" s="32">
        <v>17.600000000000001</v>
      </c>
      <c r="W256" s="32">
        <v>17.2</v>
      </c>
      <c r="X256" s="32">
        <v>14</v>
      </c>
      <c r="Y256" s="32">
        <v>16.399999999999999</v>
      </c>
      <c r="Z256" s="32"/>
      <c r="AA256" s="32">
        <v>29.5</v>
      </c>
      <c r="AB256" s="33">
        <f>AA256/6.25/100</f>
        <v>4.7199999999999999E-2</v>
      </c>
      <c r="AC256" s="32"/>
      <c r="AD256" s="32"/>
      <c r="AE256" s="31" t="s">
        <v>900</v>
      </c>
    </row>
    <row r="257" spans="1:31" s="28" customFormat="1" x14ac:dyDescent="0.25">
      <c r="A257" s="61" t="s">
        <v>901</v>
      </c>
      <c r="B257" s="28" t="s">
        <v>902</v>
      </c>
      <c r="D257" s="28" t="s">
        <v>152</v>
      </c>
      <c r="E257" s="28" t="s">
        <v>1789</v>
      </c>
      <c r="F257" s="69" t="s">
        <v>1722</v>
      </c>
      <c r="G257" s="69"/>
      <c r="T257" s="29"/>
      <c r="U257" s="29"/>
      <c r="V257" s="29"/>
      <c r="W257" s="29"/>
      <c r="X257" s="29"/>
      <c r="Y257" s="29"/>
      <c r="Z257" s="29"/>
      <c r="AA257" s="29"/>
      <c r="AB257" s="30"/>
      <c r="AC257" s="29"/>
      <c r="AD257" s="29"/>
    </row>
    <row r="258" spans="1:31" s="28" customFormat="1" x14ac:dyDescent="0.25">
      <c r="A258" s="61" t="s">
        <v>903</v>
      </c>
      <c r="B258" s="28" t="s">
        <v>904</v>
      </c>
      <c r="D258" s="28" t="s">
        <v>152</v>
      </c>
      <c r="E258" s="28" t="s">
        <v>1789</v>
      </c>
      <c r="F258" s="69" t="s">
        <v>1723</v>
      </c>
      <c r="G258" s="69"/>
      <c r="T258" s="29"/>
      <c r="U258" s="29"/>
      <c r="V258" s="29"/>
      <c r="W258" s="29"/>
      <c r="X258" s="29"/>
      <c r="Y258" s="29"/>
      <c r="Z258" s="29"/>
      <c r="AA258" s="29"/>
      <c r="AB258" s="30"/>
      <c r="AC258" s="29"/>
      <c r="AD258" s="29"/>
    </row>
    <row r="259" spans="1:31" s="28" customFormat="1" x14ac:dyDescent="0.25">
      <c r="A259" s="61" t="s">
        <v>905</v>
      </c>
      <c r="B259" s="28" t="s">
        <v>906</v>
      </c>
      <c r="D259" s="28" t="s">
        <v>152</v>
      </c>
      <c r="E259" s="28" t="s">
        <v>1789</v>
      </c>
      <c r="F259" s="69" t="s">
        <v>1724</v>
      </c>
      <c r="G259" s="69"/>
      <c r="T259" s="29"/>
      <c r="U259" s="29"/>
      <c r="V259" s="29"/>
      <c r="W259" s="29"/>
      <c r="X259" s="29"/>
      <c r="Y259" s="29"/>
      <c r="Z259" s="29"/>
      <c r="AA259" s="29"/>
      <c r="AB259" s="30"/>
      <c r="AC259" s="29"/>
      <c r="AD259" s="29"/>
    </row>
    <row r="260" spans="1:31" s="28" customFormat="1" x14ac:dyDescent="0.25">
      <c r="A260" s="61" t="s">
        <v>907</v>
      </c>
      <c r="B260" s="28" t="s">
        <v>908</v>
      </c>
      <c r="D260" s="28" t="s">
        <v>152</v>
      </c>
      <c r="E260" s="28" t="s">
        <v>1789</v>
      </c>
      <c r="F260" s="69" t="s">
        <v>1725</v>
      </c>
      <c r="G260" s="69"/>
      <c r="T260" s="29"/>
      <c r="U260" s="29"/>
      <c r="V260" s="29"/>
      <c r="W260" s="29"/>
      <c r="X260" s="29"/>
      <c r="Y260" s="29"/>
      <c r="Z260" s="29"/>
      <c r="AA260" s="29"/>
      <c r="AB260" s="30"/>
      <c r="AC260" s="29"/>
      <c r="AD260" s="29"/>
    </row>
    <row r="261" spans="1:31" s="31" customFormat="1" x14ac:dyDescent="0.25">
      <c r="A261" s="36" t="s">
        <v>909</v>
      </c>
      <c r="B261" s="31" t="s">
        <v>910</v>
      </c>
      <c r="D261" s="31" t="s">
        <v>152</v>
      </c>
      <c r="E261" s="31" t="s">
        <v>1791</v>
      </c>
      <c r="F261" s="66" t="s">
        <v>1726</v>
      </c>
      <c r="G261" s="66">
        <v>112</v>
      </c>
      <c r="H261" s="31">
        <v>57</v>
      </c>
      <c r="I261" s="31">
        <v>56</v>
      </c>
      <c r="K261" s="31" t="s">
        <v>31</v>
      </c>
      <c r="L261" s="31" t="s">
        <v>31</v>
      </c>
      <c r="M261" s="31" t="s">
        <v>31</v>
      </c>
      <c r="N261" s="31" t="s">
        <v>31</v>
      </c>
      <c r="O261" s="31" t="s">
        <v>31</v>
      </c>
      <c r="P261" s="31" t="s">
        <v>32</v>
      </c>
      <c r="Q261" s="31" t="s">
        <v>165</v>
      </c>
      <c r="T261" s="32">
        <v>93.15</v>
      </c>
      <c r="U261" s="32">
        <v>25.7</v>
      </c>
      <c r="V261" s="32">
        <v>18.25</v>
      </c>
      <c r="W261" s="32">
        <v>19.600000000000001</v>
      </c>
      <c r="X261" s="32">
        <v>18.25</v>
      </c>
      <c r="Y261" s="32">
        <v>19</v>
      </c>
      <c r="Z261" s="32">
        <v>15.6</v>
      </c>
      <c r="AA261" s="32">
        <v>14.05</v>
      </c>
      <c r="AB261" s="33">
        <f>AA261/6.25/100</f>
        <v>2.2480000000000003E-2</v>
      </c>
      <c r="AC261" s="32">
        <v>83</v>
      </c>
      <c r="AD261" s="32">
        <v>76.3</v>
      </c>
      <c r="AE261" s="31" t="s">
        <v>911</v>
      </c>
    </row>
    <row r="262" spans="1:31" s="31" customFormat="1" x14ac:dyDescent="0.25">
      <c r="A262" s="36" t="s">
        <v>912</v>
      </c>
      <c r="B262" s="31" t="s">
        <v>913</v>
      </c>
      <c r="D262" s="31" t="s">
        <v>152</v>
      </c>
      <c r="E262" s="31" t="s">
        <v>1791</v>
      </c>
      <c r="F262" s="66" t="s">
        <v>1727</v>
      </c>
      <c r="G262" s="66">
        <v>117</v>
      </c>
      <c r="H262" s="31">
        <v>76</v>
      </c>
      <c r="I262" s="31">
        <v>75</v>
      </c>
      <c r="J262" s="31" t="s">
        <v>914</v>
      </c>
      <c r="Q262" s="31" t="s">
        <v>165</v>
      </c>
      <c r="T262" s="32">
        <v>87.6</v>
      </c>
      <c r="U262" s="32">
        <v>19.5</v>
      </c>
      <c r="V262" s="32">
        <f>U262*0.7</f>
        <v>13.649999999999999</v>
      </c>
      <c r="W262" s="32">
        <v>13.7</v>
      </c>
      <c r="X262" s="32">
        <v>11.5</v>
      </c>
      <c r="Y262" s="32">
        <v>13</v>
      </c>
      <c r="Z262" s="32">
        <f>AVERAGE(11.3,10.7)</f>
        <v>11</v>
      </c>
      <c r="AA262" s="32">
        <v>9.4</v>
      </c>
      <c r="AB262" s="33">
        <f>AA262/6.25/100</f>
        <v>1.504E-2</v>
      </c>
      <c r="AC262" s="32">
        <v>59.3</v>
      </c>
      <c r="AD262" s="32">
        <v>84.7</v>
      </c>
      <c r="AE262" s="34" t="s">
        <v>915</v>
      </c>
    </row>
    <row r="263" spans="1:31" s="28" customFormat="1" x14ac:dyDescent="0.25">
      <c r="A263" s="61" t="s">
        <v>916</v>
      </c>
      <c r="B263" s="28" t="s">
        <v>917</v>
      </c>
      <c r="D263" s="28" t="s">
        <v>152</v>
      </c>
      <c r="E263" s="28" t="s">
        <v>1789</v>
      </c>
      <c r="F263" s="69" t="s">
        <v>1728</v>
      </c>
      <c r="G263" s="69"/>
      <c r="T263" s="29"/>
      <c r="U263" s="29"/>
      <c r="V263" s="29"/>
      <c r="W263" s="29"/>
      <c r="X263" s="29"/>
      <c r="Y263" s="29"/>
      <c r="Z263" s="29"/>
      <c r="AA263" s="29"/>
      <c r="AB263" s="30"/>
      <c r="AC263" s="29"/>
      <c r="AD263" s="29"/>
    </row>
    <row r="264" spans="1:31" s="28" customFormat="1" x14ac:dyDescent="0.25">
      <c r="A264" s="61" t="s">
        <v>918</v>
      </c>
      <c r="B264" s="28" t="s">
        <v>919</v>
      </c>
      <c r="D264" s="28" t="s">
        <v>152</v>
      </c>
      <c r="E264" s="28" t="s">
        <v>1789</v>
      </c>
      <c r="F264" s="69" t="s">
        <v>1729</v>
      </c>
      <c r="G264" s="69">
        <v>113</v>
      </c>
      <c r="I264" s="28">
        <v>27</v>
      </c>
      <c r="T264" s="29"/>
      <c r="U264" s="29"/>
      <c r="V264" s="29"/>
      <c r="W264" s="29"/>
      <c r="X264" s="29"/>
      <c r="Y264" s="29"/>
      <c r="Z264" s="29"/>
      <c r="AA264" s="29"/>
      <c r="AB264" s="30"/>
      <c r="AC264" s="29"/>
      <c r="AD264" s="29"/>
    </row>
    <row r="265" spans="1:31" s="31" customFormat="1" x14ac:dyDescent="0.25">
      <c r="A265" s="36" t="s">
        <v>920</v>
      </c>
      <c r="B265" s="31" t="s">
        <v>921</v>
      </c>
      <c r="D265" s="31" t="s">
        <v>152</v>
      </c>
      <c r="E265" s="31" t="s">
        <v>1791</v>
      </c>
      <c r="F265" s="66" t="s">
        <v>1730</v>
      </c>
      <c r="G265" s="66">
        <v>113</v>
      </c>
      <c r="H265" s="31">
        <v>31</v>
      </c>
      <c r="I265" s="31">
        <v>27</v>
      </c>
      <c r="L265" s="31" t="s">
        <v>31</v>
      </c>
      <c r="M265" s="31" t="s">
        <v>31</v>
      </c>
      <c r="N265" s="31" t="s">
        <v>31</v>
      </c>
      <c r="O265" s="31" t="s">
        <v>31</v>
      </c>
      <c r="P265" s="31" t="s">
        <v>114</v>
      </c>
      <c r="Q265" s="31" t="s">
        <v>165</v>
      </c>
      <c r="T265" s="32">
        <v>88</v>
      </c>
      <c r="U265" s="32">
        <v>17.600000000000001</v>
      </c>
      <c r="V265" s="32">
        <v>12.1</v>
      </c>
      <c r="W265" s="32">
        <v>13.1</v>
      </c>
      <c r="X265" s="32">
        <v>10.1</v>
      </c>
      <c r="Y265" s="32">
        <v>12.7</v>
      </c>
      <c r="Z265" s="32">
        <v>9.1999999999999904</v>
      </c>
      <c r="AA265" s="32">
        <v>8.3000000000000007</v>
      </c>
      <c r="AB265" s="33">
        <v>1.328E-2</v>
      </c>
      <c r="AC265" s="32">
        <v>76</v>
      </c>
      <c r="AD265" s="32"/>
      <c r="AE265" s="34" t="s">
        <v>922</v>
      </c>
    </row>
    <row r="266" spans="1:31" s="31" customFormat="1" x14ac:dyDescent="0.25">
      <c r="A266" s="36" t="s">
        <v>923</v>
      </c>
      <c r="B266" s="31" t="s">
        <v>924</v>
      </c>
      <c r="D266" s="31" t="s">
        <v>152</v>
      </c>
      <c r="E266" s="31" t="s">
        <v>1791</v>
      </c>
      <c r="F266" s="66" t="s">
        <v>1731</v>
      </c>
      <c r="G266" s="66">
        <v>113</v>
      </c>
      <c r="H266" s="31">
        <v>32</v>
      </c>
      <c r="I266" s="31">
        <v>27</v>
      </c>
      <c r="Q266" s="31" t="s">
        <v>165</v>
      </c>
      <c r="T266" s="32">
        <v>87.5</v>
      </c>
      <c r="U266" s="32">
        <v>18.100000000000001</v>
      </c>
      <c r="V266" s="32">
        <v>15.9</v>
      </c>
      <c r="W266" s="32">
        <v>16.899999999999999</v>
      </c>
      <c r="X266" s="32">
        <v>13.4</v>
      </c>
      <c r="Y266" s="32">
        <v>16.5</v>
      </c>
      <c r="Z266" s="32">
        <f>AVERAGE(16.1,15.8)</f>
        <v>15.950000000000001</v>
      </c>
      <c r="AA266" s="32">
        <v>9</v>
      </c>
      <c r="AB266" s="33">
        <f>AA266/6.25/100</f>
        <v>1.44E-2</v>
      </c>
      <c r="AC266" s="32">
        <v>68</v>
      </c>
      <c r="AD266" s="32">
        <v>88</v>
      </c>
      <c r="AE266" s="35" t="s">
        <v>925</v>
      </c>
    </row>
    <row r="267" spans="1:31" s="28" customFormat="1" x14ac:dyDescent="0.25">
      <c r="A267" s="61" t="s">
        <v>926</v>
      </c>
      <c r="B267" s="28" t="s">
        <v>927</v>
      </c>
      <c r="D267" s="28" t="s">
        <v>152</v>
      </c>
      <c r="E267" s="28" t="s">
        <v>1789</v>
      </c>
      <c r="F267" s="69">
        <v>23162</v>
      </c>
      <c r="G267" s="69"/>
      <c r="T267" s="29"/>
      <c r="U267" s="29"/>
      <c r="V267" s="29"/>
      <c r="W267" s="29"/>
      <c r="X267" s="29"/>
      <c r="Y267" s="29"/>
      <c r="Z267" s="29"/>
      <c r="AA267" s="29"/>
      <c r="AB267" s="30"/>
      <c r="AC267" s="29"/>
      <c r="AD267" s="29"/>
    </row>
    <row r="268" spans="1:31" s="31" customFormat="1" x14ac:dyDescent="0.25">
      <c r="A268" s="36" t="s">
        <v>928</v>
      </c>
      <c r="B268" s="31" t="s">
        <v>929</v>
      </c>
      <c r="D268" s="31" t="s">
        <v>152</v>
      </c>
      <c r="E268" s="31" t="s">
        <v>1791</v>
      </c>
      <c r="F268" s="66" t="s">
        <v>1732</v>
      </c>
      <c r="G268" s="66" t="s">
        <v>1629</v>
      </c>
      <c r="H268" s="31">
        <v>126</v>
      </c>
      <c r="I268" s="31">
        <v>125</v>
      </c>
      <c r="J268" s="31" t="s">
        <v>930</v>
      </c>
      <c r="Q268" s="31" t="s">
        <v>165</v>
      </c>
      <c r="T268" s="32">
        <v>89</v>
      </c>
      <c r="U268" s="32">
        <v>15.6</v>
      </c>
      <c r="V268" s="32">
        <f>U268*0.51</f>
        <v>7.9559999999999995</v>
      </c>
      <c r="W268" s="32">
        <v>12.4</v>
      </c>
      <c r="X268" s="32"/>
      <c r="Y268" s="32">
        <v>12</v>
      </c>
      <c r="Z268" s="32">
        <v>10.1</v>
      </c>
      <c r="AA268" s="32">
        <v>2.2999999999999998</v>
      </c>
      <c r="AB268" s="33">
        <f>AA268/6.25/100</f>
        <v>3.6800000000000001E-3</v>
      </c>
      <c r="AC268" s="32">
        <v>0</v>
      </c>
      <c r="AD268" s="32">
        <v>100</v>
      </c>
      <c r="AE268" s="31" t="s">
        <v>931</v>
      </c>
    </row>
    <row r="269" spans="1:31" s="28" customFormat="1" x14ac:dyDescent="0.25">
      <c r="A269" s="61" t="s">
        <v>932</v>
      </c>
      <c r="B269" s="28" t="s">
        <v>933</v>
      </c>
      <c r="D269" s="28" t="s">
        <v>152</v>
      </c>
      <c r="E269" s="28" t="s">
        <v>1789</v>
      </c>
      <c r="F269" s="69" t="s">
        <v>1733</v>
      </c>
      <c r="G269" s="69"/>
      <c r="T269" s="29"/>
      <c r="U269" s="29"/>
      <c r="V269" s="29"/>
      <c r="W269" s="29"/>
      <c r="X269" s="29"/>
      <c r="Y269" s="29"/>
      <c r="Z269" s="29"/>
      <c r="AA269" s="29"/>
      <c r="AB269" s="30"/>
      <c r="AC269" s="29"/>
      <c r="AD269" s="29"/>
    </row>
    <row r="270" spans="1:31" s="28" customFormat="1" x14ac:dyDescent="0.25">
      <c r="A270" s="61" t="s">
        <v>934</v>
      </c>
      <c r="B270" s="28" t="s">
        <v>935</v>
      </c>
      <c r="D270" s="28" t="s">
        <v>152</v>
      </c>
      <c r="E270" s="28" t="s">
        <v>1789</v>
      </c>
      <c r="F270" s="69" t="s">
        <v>1734</v>
      </c>
      <c r="G270" s="69"/>
      <c r="T270" s="29"/>
      <c r="U270" s="29"/>
      <c r="V270" s="29"/>
      <c r="W270" s="29"/>
      <c r="X270" s="29"/>
      <c r="Y270" s="29"/>
      <c r="Z270" s="29"/>
      <c r="AA270" s="29"/>
      <c r="AB270" s="30"/>
      <c r="AC270" s="29"/>
      <c r="AD270" s="29"/>
    </row>
    <row r="271" spans="1:31" s="31" customFormat="1" x14ac:dyDescent="0.25">
      <c r="A271" s="36" t="s">
        <v>936</v>
      </c>
      <c r="B271" s="31" t="s">
        <v>937</v>
      </c>
      <c r="D271" s="31" t="s">
        <v>152</v>
      </c>
      <c r="E271" s="31" t="s">
        <v>1791</v>
      </c>
      <c r="F271" s="66" t="s">
        <v>1735</v>
      </c>
      <c r="G271" s="66" t="s">
        <v>1736</v>
      </c>
      <c r="H271" s="31">
        <v>624</v>
      </c>
      <c r="I271" s="31">
        <v>619</v>
      </c>
      <c r="J271" s="31" t="s">
        <v>938</v>
      </c>
      <c r="Q271" s="31" t="s">
        <v>165</v>
      </c>
      <c r="T271" s="32">
        <v>90</v>
      </c>
      <c r="U271" s="32">
        <v>18.5</v>
      </c>
      <c r="V271" s="32"/>
      <c r="W271" s="32">
        <v>15.6</v>
      </c>
      <c r="X271" s="32"/>
      <c r="Y271" s="32"/>
      <c r="Z271" s="32"/>
      <c r="AA271" s="32">
        <v>16.7</v>
      </c>
      <c r="AB271" s="33"/>
      <c r="AC271" s="32"/>
      <c r="AD271" s="32"/>
    </row>
    <row r="272" spans="1:31" s="28" customFormat="1" x14ac:dyDescent="0.25">
      <c r="A272" s="61" t="s">
        <v>939</v>
      </c>
      <c r="B272" s="28" t="s">
        <v>940</v>
      </c>
      <c r="D272" s="28" t="s">
        <v>152</v>
      </c>
      <c r="E272" s="28" t="s">
        <v>1789</v>
      </c>
      <c r="F272" s="69">
        <v>23180</v>
      </c>
      <c r="G272" s="69"/>
      <c r="T272" s="29"/>
      <c r="U272" s="29"/>
      <c r="V272" s="29"/>
      <c r="W272" s="29"/>
      <c r="X272" s="29"/>
      <c r="Y272" s="29"/>
      <c r="Z272" s="29"/>
      <c r="AA272" s="29"/>
      <c r="AB272" s="30"/>
      <c r="AC272" s="29"/>
      <c r="AD272" s="29"/>
    </row>
    <row r="273" spans="1:31" s="28" customFormat="1" x14ac:dyDescent="0.25">
      <c r="A273" s="61" t="s">
        <v>941</v>
      </c>
      <c r="B273" s="28" t="s">
        <v>942</v>
      </c>
      <c r="D273" s="28" t="s">
        <v>152</v>
      </c>
      <c r="E273" s="28" t="s">
        <v>1789</v>
      </c>
      <c r="F273" s="69" t="s">
        <v>1737</v>
      </c>
      <c r="G273" s="69"/>
      <c r="T273" s="29"/>
      <c r="U273" s="29"/>
      <c r="V273" s="29"/>
      <c r="W273" s="29"/>
      <c r="X273" s="29"/>
      <c r="Y273" s="29"/>
      <c r="Z273" s="29"/>
      <c r="AA273" s="29"/>
      <c r="AB273" s="30"/>
      <c r="AC273" s="29"/>
      <c r="AD273" s="29"/>
    </row>
    <row r="274" spans="1:31" s="28" customFormat="1" x14ac:dyDescent="0.25">
      <c r="A274" s="61" t="s">
        <v>943</v>
      </c>
      <c r="B274" s="28" t="s">
        <v>944</v>
      </c>
      <c r="D274" s="28" t="s">
        <v>152</v>
      </c>
      <c r="E274" s="28" t="s">
        <v>1789</v>
      </c>
      <c r="F274" s="69" t="s">
        <v>1738</v>
      </c>
      <c r="G274" s="69"/>
      <c r="T274" s="29"/>
      <c r="U274" s="29"/>
      <c r="V274" s="29"/>
      <c r="W274" s="29"/>
      <c r="X274" s="29"/>
      <c r="Y274" s="29"/>
      <c r="Z274" s="29"/>
      <c r="AA274" s="29"/>
      <c r="AB274" s="30"/>
      <c r="AC274" s="29"/>
      <c r="AD274" s="29"/>
    </row>
    <row r="275" spans="1:31" s="28" customFormat="1" x14ac:dyDescent="0.25">
      <c r="A275" s="61" t="s">
        <v>945</v>
      </c>
      <c r="B275" s="28" t="s">
        <v>946</v>
      </c>
      <c r="D275" s="28" t="s">
        <v>152</v>
      </c>
      <c r="E275" s="28" t="s">
        <v>1789</v>
      </c>
      <c r="F275" s="69" t="s">
        <v>1739</v>
      </c>
      <c r="G275" s="69"/>
      <c r="T275" s="29"/>
      <c r="U275" s="29"/>
      <c r="V275" s="29"/>
      <c r="W275" s="29"/>
      <c r="X275" s="29"/>
      <c r="Y275" s="29"/>
      <c r="Z275" s="29"/>
      <c r="AA275" s="29"/>
      <c r="AB275" s="30"/>
      <c r="AC275" s="29"/>
      <c r="AD275" s="29"/>
    </row>
    <row r="276" spans="1:31" s="28" customFormat="1" x14ac:dyDescent="0.25">
      <c r="A276" s="61" t="s">
        <v>947</v>
      </c>
      <c r="B276" s="28" t="s">
        <v>948</v>
      </c>
      <c r="D276" s="28" t="s">
        <v>152</v>
      </c>
      <c r="E276" s="28" t="s">
        <v>1789</v>
      </c>
      <c r="F276" s="69" t="s">
        <v>1740</v>
      </c>
      <c r="G276" s="69"/>
      <c r="T276" s="29"/>
      <c r="U276" s="29"/>
      <c r="V276" s="29"/>
      <c r="W276" s="29"/>
      <c r="X276" s="29"/>
      <c r="Y276" s="29"/>
      <c r="Z276" s="29"/>
      <c r="AA276" s="29"/>
      <c r="AB276" s="30"/>
      <c r="AC276" s="29"/>
      <c r="AD276" s="29"/>
    </row>
    <row r="277" spans="1:31" s="28" customFormat="1" x14ac:dyDescent="0.25">
      <c r="A277" s="61" t="s">
        <v>949</v>
      </c>
      <c r="B277" s="28" t="s">
        <v>950</v>
      </c>
      <c r="D277" s="28" t="s">
        <v>152</v>
      </c>
      <c r="E277" s="28" t="s">
        <v>1789</v>
      </c>
      <c r="F277" s="69" t="s">
        <v>1741</v>
      </c>
      <c r="G277" s="69"/>
      <c r="T277" s="29"/>
      <c r="U277" s="29"/>
      <c r="V277" s="29"/>
      <c r="W277" s="29"/>
      <c r="X277" s="29"/>
      <c r="Y277" s="29"/>
      <c r="Z277" s="29"/>
      <c r="AA277" s="29"/>
      <c r="AB277" s="30"/>
      <c r="AC277" s="29"/>
      <c r="AD277" s="29"/>
    </row>
    <row r="278" spans="1:31" s="31" customFormat="1" x14ac:dyDescent="0.25">
      <c r="A278" s="36" t="s">
        <v>951</v>
      </c>
      <c r="B278" s="31" t="s">
        <v>952</v>
      </c>
      <c r="D278" s="31" t="s">
        <v>152</v>
      </c>
      <c r="E278" s="31" t="s">
        <v>1791</v>
      </c>
      <c r="F278" s="66" t="s">
        <v>1742</v>
      </c>
      <c r="G278" s="66">
        <v>112</v>
      </c>
      <c r="H278" s="31" t="s">
        <v>237</v>
      </c>
      <c r="I278" s="31">
        <v>64</v>
      </c>
      <c r="N278" s="31" t="s">
        <v>31</v>
      </c>
      <c r="P278" s="31" t="s">
        <v>953</v>
      </c>
      <c r="Q278" s="31" t="s">
        <v>954</v>
      </c>
      <c r="T278" s="32">
        <v>88.1</v>
      </c>
      <c r="U278" s="31">
        <v>0.8</v>
      </c>
      <c r="V278" s="32"/>
      <c r="W278" s="32">
        <v>17</v>
      </c>
      <c r="X278" s="32"/>
      <c r="Y278" s="32">
        <v>16.8</v>
      </c>
      <c r="Z278" s="32"/>
      <c r="AA278" s="32">
        <v>17.399999999999999</v>
      </c>
      <c r="AB278" s="33">
        <f>AA278/6.25/100</f>
        <v>2.7839999999999997E-2</v>
      </c>
      <c r="AC278" s="32"/>
      <c r="AD278" s="32">
        <v>64.599999999999994</v>
      </c>
      <c r="AE278" s="31" t="s">
        <v>955</v>
      </c>
    </row>
    <row r="279" spans="1:31" s="31" customFormat="1" x14ac:dyDescent="0.25">
      <c r="A279" s="36" t="s">
        <v>956</v>
      </c>
      <c r="B279" s="31" t="s">
        <v>957</v>
      </c>
      <c r="D279" s="31" t="s">
        <v>152</v>
      </c>
      <c r="E279" s="31" t="s">
        <v>1791</v>
      </c>
      <c r="F279" s="66" t="s">
        <v>1743</v>
      </c>
      <c r="G279" s="66">
        <v>1510</v>
      </c>
      <c r="H279" s="31" t="s">
        <v>237</v>
      </c>
      <c r="I279" s="31">
        <v>116</v>
      </c>
      <c r="J279" s="31" t="s">
        <v>958</v>
      </c>
      <c r="K279" s="31" t="s">
        <v>31</v>
      </c>
      <c r="L279" s="31" t="s">
        <v>31</v>
      </c>
      <c r="N279" s="31" t="s">
        <v>31</v>
      </c>
      <c r="O279" s="31" t="s">
        <v>31</v>
      </c>
      <c r="P279" s="31" t="s">
        <v>32</v>
      </c>
      <c r="Q279" s="31" t="s">
        <v>954</v>
      </c>
      <c r="T279" s="32">
        <v>86.9</v>
      </c>
      <c r="U279" s="32">
        <v>17.600000000000001</v>
      </c>
      <c r="V279" s="32">
        <f>U279*0.65</f>
        <v>11.440000000000001</v>
      </c>
      <c r="W279" s="32">
        <v>12.8</v>
      </c>
      <c r="X279" s="32">
        <v>9.1999999999999993</v>
      </c>
      <c r="Y279" s="32">
        <v>12.4</v>
      </c>
      <c r="Z279" s="32">
        <v>8.8000000000000007</v>
      </c>
      <c r="AA279" s="32">
        <v>5.4</v>
      </c>
      <c r="AB279" s="33">
        <f>AA279/6.25/100</f>
        <v>8.6400000000000018E-3</v>
      </c>
      <c r="AC279" s="32">
        <v>28.4</v>
      </c>
      <c r="AD279" s="32">
        <v>57.2</v>
      </c>
      <c r="AE279" s="31" t="s">
        <v>959</v>
      </c>
    </row>
    <row r="280" spans="1:31" s="31" customFormat="1" x14ac:dyDescent="0.25">
      <c r="A280" s="36" t="s">
        <v>960</v>
      </c>
      <c r="B280" s="31" t="s">
        <v>961</v>
      </c>
      <c r="D280" s="31" t="s">
        <v>152</v>
      </c>
      <c r="E280" s="31" t="s">
        <v>1791</v>
      </c>
      <c r="F280" s="66" t="s">
        <v>1744</v>
      </c>
      <c r="G280" s="66" t="s">
        <v>1629</v>
      </c>
      <c r="H280" s="31">
        <v>129</v>
      </c>
      <c r="I280" s="31">
        <v>125</v>
      </c>
      <c r="J280" s="31" t="s">
        <v>962</v>
      </c>
      <c r="Q280" s="31" t="s">
        <v>165</v>
      </c>
      <c r="T280" s="32">
        <v>89</v>
      </c>
      <c r="U280" s="32">
        <v>17.5</v>
      </c>
      <c r="V280" s="32">
        <f>U280*0.56</f>
        <v>9.8000000000000007</v>
      </c>
      <c r="W280" s="32">
        <v>11.5</v>
      </c>
      <c r="X280" s="32">
        <v>7.7</v>
      </c>
      <c r="Y280" s="32">
        <v>11.2</v>
      </c>
      <c r="Z280" s="32">
        <v>10.1</v>
      </c>
      <c r="AA280" s="32">
        <v>2.4</v>
      </c>
      <c r="AB280" s="33">
        <f>AA280/6.25/100</f>
        <v>3.8400000000000001E-3</v>
      </c>
      <c r="AC280" s="32">
        <v>0</v>
      </c>
      <c r="AD280" s="32">
        <v>54.8</v>
      </c>
      <c r="AE280" s="31" t="s">
        <v>963</v>
      </c>
    </row>
    <row r="281" spans="1:31" s="28" customFormat="1" x14ac:dyDescent="0.25">
      <c r="A281" s="61" t="s">
        <v>964</v>
      </c>
      <c r="B281" s="28" t="s">
        <v>965</v>
      </c>
      <c r="D281" s="28" t="s">
        <v>296</v>
      </c>
      <c r="E281" s="28" t="s">
        <v>1789</v>
      </c>
      <c r="F281" s="69" t="s">
        <v>1745</v>
      </c>
      <c r="G281" s="69"/>
      <c r="T281" s="29"/>
      <c r="U281" s="29"/>
      <c r="V281" s="29"/>
      <c r="W281" s="29"/>
      <c r="X281" s="29"/>
      <c r="Y281" s="29"/>
      <c r="Z281" s="29"/>
      <c r="AA281" s="29"/>
      <c r="AB281" s="30"/>
      <c r="AC281" s="29"/>
      <c r="AD281" s="29"/>
    </row>
    <row r="282" spans="1:31" s="28" customFormat="1" x14ac:dyDescent="0.25">
      <c r="A282" s="61" t="s">
        <v>966</v>
      </c>
      <c r="B282" s="28" t="s">
        <v>967</v>
      </c>
      <c r="D282" s="28" t="s">
        <v>296</v>
      </c>
      <c r="E282" s="28" t="s">
        <v>1789</v>
      </c>
      <c r="F282" s="69" t="s">
        <v>1746</v>
      </c>
      <c r="G282" s="69"/>
      <c r="T282" s="29"/>
      <c r="U282" s="29"/>
      <c r="V282" s="29"/>
      <c r="W282" s="29"/>
      <c r="X282" s="29"/>
      <c r="Y282" s="29"/>
      <c r="Z282" s="29"/>
      <c r="AA282" s="29"/>
      <c r="AB282" s="30"/>
      <c r="AC282" s="29"/>
      <c r="AD282" s="29"/>
    </row>
    <row r="283" spans="1:31" s="28" customFormat="1" x14ac:dyDescent="0.25">
      <c r="A283" s="61" t="s">
        <v>968</v>
      </c>
      <c r="B283" s="28" t="s">
        <v>969</v>
      </c>
      <c r="E283" s="28" t="s">
        <v>1789</v>
      </c>
      <c r="F283" s="69">
        <v>23311</v>
      </c>
      <c r="G283" s="69"/>
      <c r="T283" s="29"/>
      <c r="U283" s="29"/>
      <c r="V283" s="29"/>
      <c r="W283" s="29"/>
      <c r="X283" s="29"/>
      <c r="Y283" s="29"/>
      <c r="Z283" s="29"/>
      <c r="AA283" s="29"/>
      <c r="AB283" s="30"/>
      <c r="AC283" s="29"/>
      <c r="AD283" s="29"/>
    </row>
    <row r="284" spans="1:31" s="28" customFormat="1" x14ac:dyDescent="0.25">
      <c r="A284" s="61" t="s">
        <v>970</v>
      </c>
      <c r="B284" s="28" t="s">
        <v>971</v>
      </c>
      <c r="E284" s="28" t="s">
        <v>1789</v>
      </c>
      <c r="F284" s="69" t="s">
        <v>1747</v>
      </c>
      <c r="G284" s="69"/>
      <c r="T284" s="29"/>
      <c r="U284" s="29"/>
      <c r="V284" s="29"/>
      <c r="W284" s="29"/>
      <c r="X284" s="29"/>
      <c r="Y284" s="29"/>
      <c r="Z284" s="29"/>
      <c r="AA284" s="29"/>
      <c r="AB284" s="30"/>
      <c r="AC284" s="29"/>
      <c r="AD284" s="29"/>
    </row>
    <row r="285" spans="1:31" s="28" customFormat="1" x14ac:dyDescent="0.25">
      <c r="A285" s="61" t="s">
        <v>972</v>
      </c>
      <c r="B285" s="28" t="s">
        <v>973</v>
      </c>
      <c r="E285" s="28" t="s">
        <v>1789</v>
      </c>
      <c r="F285" s="69" t="s">
        <v>1748</v>
      </c>
      <c r="G285" s="69"/>
      <c r="T285" s="29"/>
      <c r="U285" s="29"/>
      <c r="V285" s="29"/>
      <c r="W285" s="29"/>
      <c r="X285" s="29"/>
      <c r="Y285" s="29"/>
      <c r="Z285" s="29"/>
      <c r="AA285" s="29"/>
      <c r="AB285" s="30"/>
      <c r="AC285" s="29"/>
      <c r="AD285" s="29"/>
    </row>
    <row r="286" spans="1:31" s="28" customFormat="1" x14ac:dyDescent="0.25">
      <c r="A286" s="61" t="s">
        <v>974</v>
      </c>
      <c r="B286" s="28" t="s">
        <v>975</v>
      </c>
      <c r="E286" s="28" t="s">
        <v>1789</v>
      </c>
      <c r="F286" s="69" t="s">
        <v>1749</v>
      </c>
      <c r="G286" s="69"/>
      <c r="T286" s="29"/>
      <c r="U286" s="29"/>
      <c r="V286" s="29"/>
      <c r="W286" s="29"/>
      <c r="X286" s="29"/>
      <c r="Y286" s="29"/>
      <c r="Z286" s="29"/>
      <c r="AA286" s="29"/>
      <c r="AB286" s="30"/>
      <c r="AC286" s="29"/>
      <c r="AD286" s="29"/>
    </row>
    <row r="287" spans="1:31" s="28" customFormat="1" x14ac:dyDescent="0.25">
      <c r="A287" s="61" t="s">
        <v>976</v>
      </c>
      <c r="B287" s="28" t="s">
        <v>977</v>
      </c>
      <c r="E287" s="28" t="s">
        <v>1789</v>
      </c>
      <c r="F287" s="69" t="s">
        <v>1750</v>
      </c>
      <c r="G287" s="69"/>
      <c r="T287" s="29"/>
      <c r="U287" s="29"/>
      <c r="V287" s="29"/>
      <c r="W287" s="29"/>
      <c r="X287" s="29"/>
      <c r="Y287" s="29"/>
      <c r="Z287" s="29"/>
      <c r="AA287" s="29"/>
      <c r="AB287" s="30"/>
      <c r="AC287" s="29"/>
      <c r="AD287" s="29"/>
    </row>
    <row r="288" spans="1:31" s="28" customFormat="1" x14ac:dyDescent="0.25">
      <c r="A288" s="61" t="s">
        <v>978</v>
      </c>
      <c r="B288" s="28" t="s">
        <v>979</v>
      </c>
      <c r="C288" s="28" t="s">
        <v>980</v>
      </c>
      <c r="D288" s="28" t="s">
        <v>152</v>
      </c>
      <c r="E288" s="28" t="s">
        <v>1789</v>
      </c>
      <c r="F288" s="69" t="s">
        <v>1751</v>
      </c>
      <c r="G288" s="69"/>
      <c r="T288" s="29"/>
      <c r="U288" s="29"/>
      <c r="V288" s="29"/>
      <c r="W288" s="29"/>
      <c r="X288" s="29"/>
      <c r="Y288" s="29"/>
      <c r="Z288" s="29"/>
      <c r="AA288" s="29"/>
      <c r="AB288" s="30"/>
      <c r="AC288" s="29"/>
      <c r="AD288" s="29"/>
    </row>
    <row r="289" spans="1:32" s="28" customFormat="1" x14ac:dyDescent="0.25">
      <c r="A289" s="61" t="s">
        <v>981</v>
      </c>
      <c r="B289" s="28" t="s">
        <v>982</v>
      </c>
      <c r="E289" s="28" t="s">
        <v>1789</v>
      </c>
      <c r="F289" s="69" t="s">
        <v>1752</v>
      </c>
      <c r="G289" s="69"/>
      <c r="T289" s="29"/>
      <c r="U289" s="29"/>
      <c r="V289" s="29"/>
      <c r="W289" s="29"/>
      <c r="X289" s="29"/>
      <c r="Y289" s="29"/>
      <c r="Z289" s="29"/>
      <c r="AA289" s="29"/>
      <c r="AB289" s="30"/>
      <c r="AC289" s="29"/>
      <c r="AD289" s="29"/>
    </row>
    <row r="290" spans="1:32" s="28" customFormat="1" x14ac:dyDescent="0.25">
      <c r="A290" s="61" t="s">
        <v>983</v>
      </c>
      <c r="B290" s="28" t="s">
        <v>984</v>
      </c>
      <c r="C290" s="28" t="s">
        <v>980</v>
      </c>
      <c r="D290" s="28" t="s">
        <v>152</v>
      </c>
      <c r="E290" s="28" t="s">
        <v>1789</v>
      </c>
      <c r="F290" s="69" t="s">
        <v>1753</v>
      </c>
      <c r="G290" s="69" t="s">
        <v>1753</v>
      </c>
      <c r="H290" s="28">
        <v>854</v>
      </c>
      <c r="I290" s="28">
        <v>854</v>
      </c>
      <c r="J290" s="28" t="s">
        <v>985</v>
      </c>
      <c r="P290" s="28" t="s">
        <v>114</v>
      </c>
      <c r="Q290" s="28" t="s">
        <v>165</v>
      </c>
      <c r="T290" s="29"/>
      <c r="U290" s="29"/>
      <c r="V290" s="29"/>
      <c r="W290" s="29"/>
      <c r="X290" s="29"/>
      <c r="Y290" s="29"/>
      <c r="Z290" s="29"/>
      <c r="AA290" s="29"/>
      <c r="AB290" s="30"/>
      <c r="AC290" s="29"/>
      <c r="AD290" s="29"/>
    </row>
    <row r="291" spans="1:32" s="28" customFormat="1" x14ac:dyDescent="0.25">
      <c r="A291" s="61" t="s">
        <v>986</v>
      </c>
      <c r="B291" s="28" t="s">
        <v>987</v>
      </c>
      <c r="C291" s="28" t="s">
        <v>980</v>
      </c>
      <c r="D291" s="28" t="s">
        <v>152</v>
      </c>
      <c r="E291" s="28" t="s">
        <v>1789</v>
      </c>
      <c r="F291" s="69" t="s">
        <v>1754</v>
      </c>
      <c r="G291" s="69"/>
      <c r="J291" s="28" t="s">
        <v>985</v>
      </c>
      <c r="T291" s="29"/>
      <c r="U291" s="29"/>
      <c r="V291" s="29"/>
      <c r="W291" s="29"/>
      <c r="X291" s="29"/>
      <c r="Y291" s="29"/>
      <c r="Z291" s="29"/>
      <c r="AA291" s="29"/>
      <c r="AB291" s="30"/>
      <c r="AC291" s="29"/>
      <c r="AD291" s="29"/>
    </row>
    <row r="292" spans="1:32" s="31" customFormat="1" ht="16.5" x14ac:dyDescent="0.25">
      <c r="A292" s="36" t="s">
        <v>988</v>
      </c>
      <c r="B292" s="31" t="s">
        <v>989</v>
      </c>
      <c r="C292" s="31" t="s">
        <v>593</v>
      </c>
      <c r="D292" s="31" t="s">
        <v>147</v>
      </c>
      <c r="E292" s="31" t="s">
        <v>1791</v>
      </c>
      <c r="F292" s="66">
        <v>23320</v>
      </c>
      <c r="G292" s="66">
        <v>23320</v>
      </c>
      <c r="H292" s="31">
        <v>862</v>
      </c>
      <c r="I292" s="31">
        <v>862</v>
      </c>
      <c r="J292" s="31" t="s">
        <v>990</v>
      </c>
      <c r="K292" s="31" t="s">
        <v>31</v>
      </c>
      <c r="L292" s="31" t="s">
        <v>31</v>
      </c>
      <c r="N292" s="31" t="s">
        <v>31</v>
      </c>
      <c r="O292" s="31" t="s">
        <v>31</v>
      </c>
      <c r="P292" s="31" t="s">
        <v>32</v>
      </c>
      <c r="Q292" s="31" t="s">
        <v>165</v>
      </c>
      <c r="T292" s="32">
        <v>92.1</v>
      </c>
      <c r="U292" s="32">
        <v>21.7</v>
      </c>
      <c r="V292" s="32">
        <v>19.5</v>
      </c>
      <c r="W292" s="32">
        <v>18.8</v>
      </c>
      <c r="X292" s="32">
        <v>14.4</v>
      </c>
      <c r="Y292" s="32">
        <v>17.399999999999999</v>
      </c>
      <c r="Z292" s="32">
        <v>12.4</v>
      </c>
      <c r="AA292" s="32">
        <v>56.9</v>
      </c>
      <c r="AB292" s="33">
        <f>AA292/6.25/100</f>
        <v>9.1039999999999996E-2</v>
      </c>
      <c r="AC292" s="31">
        <v>80.400000000000006</v>
      </c>
      <c r="AD292" s="60">
        <v>89.4</v>
      </c>
      <c r="AE292" s="31" t="s">
        <v>991</v>
      </c>
      <c r="AF292" s="31" t="s">
        <v>992</v>
      </c>
    </row>
    <row r="293" spans="1:32" s="28" customFormat="1" x14ac:dyDescent="0.25">
      <c r="A293" s="61" t="s">
        <v>993</v>
      </c>
      <c r="B293" s="28" t="s">
        <v>994</v>
      </c>
      <c r="D293" s="28" t="s">
        <v>152</v>
      </c>
      <c r="E293" s="28" t="s">
        <v>1789</v>
      </c>
      <c r="F293" s="69" t="s">
        <v>1755</v>
      </c>
      <c r="G293" s="69"/>
      <c r="T293" s="29"/>
      <c r="U293" s="29"/>
      <c r="V293" s="29"/>
      <c r="W293" s="29"/>
      <c r="X293" s="29"/>
      <c r="Y293" s="29"/>
      <c r="Z293" s="29"/>
      <c r="AA293" s="29"/>
      <c r="AB293" s="30"/>
      <c r="AC293" s="29"/>
      <c r="AD293" s="29"/>
    </row>
    <row r="294" spans="1:32" s="28" customFormat="1" x14ac:dyDescent="0.25">
      <c r="A294" s="61" t="s">
        <v>995</v>
      </c>
      <c r="B294" s="28" t="s">
        <v>996</v>
      </c>
      <c r="D294" s="28" t="s">
        <v>152</v>
      </c>
      <c r="E294" s="28" t="s">
        <v>1789</v>
      </c>
      <c r="F294" s="69" t="s">
        <v>997</v>
      </c>
      <c r="G294" s="69"/>
      <c r="T294" s="29"/>
      <c r="U294" s="29"/>
      <c r="V294" s="29"/>
      <c r="W294" s="29"/>
      <c r="X294" s="29"/>
      <c r="Y294" s="29"/>
      <c r="Z294" s="29"/>
      <c r="AA294" s="29"/>
      <c r="AB294" s="30"/>
      <c r="AC294" s="29"/>
      <c r="AD294" s="29"/>
    </row>
    <row r="295" spans="1:32" s="28" customFormat="1" x14ac:dyDescent="0.25">
      <c r="A295" s="61" t="s">
        <v>998</v>
      </c>
      <c r="B295" s="28" t="s">
        <v>999</v>
      </c>
      <c r="D295" s="28" t="s">
        <v>152</v>
      </c>
      <c r="E295" s="28" t="s">
        <v>1789</v>
      </c>
      <c r="F295" s="69">
        <v>23520</v>
      </c>
      <c r="G295" s="69"/>
      <c r="T295" s="29"/>
      <c r="U295" s="29"/>
      <c r="V295" s="29"/>
      <c r="W295" s="29"/>
      <c r="X295" s="29"/>
      <c r="Y295" s="29"/>
      <c r="Z295" s="29"/>
      <c r="AA295" s="29"/>
      <c r="AB295" s="30"/>
      <c r="AC295" s="29"/>
      <c r="AD295" s="29"/>
    </row>
    <row r="296" spans="1:32" s="31" customFormat="1" x14ac:dyDescent="0.25">
      <c r="A296" s="36" t="s">
        <v>1000</v>
      </c>
      <c r="B296" s="31" t="s">
        <v>1001</v>
      </c>
      <c r="C296" s="31" t="s">
        <v>1002</v>
      </c>
      <c r="D296" s="31" t="s">
        <v>296</v>
      </c>
      <c r="E296" s="31" t="s">
        <v>1791</v>
      </c>
      <c r="F296" s="66">
        <v>23540</v>
      </c>
      <c r="G296" s="66">
        <v>1802</v>
      </c>
      <c r="H296" s="31">
        <v>165</v>
      </c>
      <c r="I296" s="31">
        <v>156</v>
      </c>
      <c r="J296" s="31" t="s">
        <v>1003</v>
      </c>
      <c r="P296" s="31" t="s">
        <v>32</v>
      </c>
      <c r="Q296" s="31" t="s">
        <v>165</v>
      </c>
      <c r="T296" s="32">
        <v>73</v>
      </c>
      <c r="U296" s="32">
        <v>14.7</v>
      </c>
      <c r="V296" s="32">
        <v>11.3</v>
      </c>
      <c r="W296" s="32">
        <v>13.3</v>
      </c>
      <c r="X296" s="32">
        <v>9.6</v>
      </c>
      <c r="Y296" s="32">
        <v>13</v>
      </c>
      <c r="Z296" s="32">
        <v>13</v>
      </c>
      <c r="AA296" s="32">
        <v>5.5</v>
      </c>
      <c r="AB296" s="33">
        <v>8.8000000000000005E-3</v>
      </c>
      <c r="AC296" s="32"/>
      <c r="AD296" s="32"/>
      <c r="AE296" s="34" t="s">
        <v>1004</v>
      </c>
    </row>
    <row r="297" spans="1:32" s="31" customFormat="1" x14ac:dyDescent="0.25">
      <c r="A297" s="36" t="s">
        <v>1005</v>
      </c>
      <c r="B297" s="31" t="s">
        <v>1006</v>
      </c>
      <c r="C297" s="37" t="s">
        <v>1002</v>
      </c>
      <c r="D297" s="31" t="s">
        <v>296</v>
      </c>
      <c r="E297" s="31" t="s">
        <v>1791</v>
      </c>
      <c r="F297" s="66">
        <v>23540</v>
      </c>
      <c r="G297" s="66">
        <v>1801</v>
      </c>
      <c r="H297" s="31">
        <v>165</v>
      </c>
      <c r="I297" s="31">
        <v>157</v>
      </c>
      <c r="J297" s="31" t="s">
        <v>1003</v>
      </c>
      <c r="P297" s="31" t="s">
        <v>32</v>
      </c>
      <c r="Q297" s="31" t="s">
        <v>165</v>
      </c>
      <c r="T297" s="32">
        <v>75.400000000000006</v>
      </c>
      <c r="U297" s="32">
        <v>15.5</v>
      </c>
      <c r="V297" s="32">
        <v>13.314499999999899</v>
      </c>
      <c r="W297" s="32">
        <v>13.1</v>
      </c>
      <c r="X297" s="32">
        <v>11</v>
      </c>
      <c r="Y297" s="32">
        <v>12.8</v>
      </c>
      <c r="Z297" s="32">
        <v>12.3</v>
      </c>
      <c r="AA297" s="32">
        <v>14.2</v>
      </c>
      <c r="AB297" s="33">
        <v>2.27199999999999E-2</v>
      </c>
      <c r="AC297" s="32">
        <v>72</v>
      </c>
      <c r="AD297" s="32">
        <v>50</v>
      </c>
      <c r="AE297" s="35" t="s">
        <v>1007</v>
      </c>
    </row>
    <row r="298" spans="1:32" s="28" customFormat="1" x14ac:dyDescent="0.25">
      <c r="A298" s="61" t="s">
        <v>1008</v>
      </c>
      <c r="B298" s="28" t="s">
        <v>1009</v>
      </c>
      <c r="D298" s="28" t="s">
        <v>152</v>
      </c>
      <c r="E298" s="28" t="s">
        <v>1789</v>
      </c>
      <c r="F298" s="69" t="s">
        <v>1756</v>
      </c>
      <c r="G298" s="69"/>
      <c r="T298" s="29"/>
      <c r="U298" s="29"/>
      <c r="V298" s="29"/>
      <c r="W298" s="29"/>
      <c r="X298" s="29"/>
      <c r="Y298" s="29"/>
      <c r="Z298" s="29"/>
      <c r="AA298" s="29"/>
      <c r="AB298" s="30"/>
      <c r="AC298" s="29"/>
      <c r="AD298" s="29"/>
    </row>
    <row r="299" spans="1:32" s="28" customFormat="1" x14ac:dyDescent="0.25">
      <c r="A299" s="61" t="s">
        <v>1010</v>
      </c>
      <c r="B299" s="28" t="s">
        <v>1011</v>
      </c>
      <c r="D299" s="28" t="s">
        <v>152</v>
      </c>
      <c r="E299" s="28" t="s">
        <v>1789</v>
      </c>
      <c r="F299" s="69">
        <v>23710</v>
      </c>
      <c r="G299" s="69"/>
      <c r="T299" s="29"/>
      <c r="U299" s="29"/>
      <c r="V299" s="29"/>
      <c r="W299" s="29"/>
      <c r="X299" s="29"/>
      <c r="Y299" s="29"/>
      <c r="Z299" s="29"/>
      <c r="AA299" s="29"/>
      <c r="AB299" s="30"/>
      <c r="AC299" s="29"/>
      <c r="AD299" s="29"/>
    </row>
    <row r="300" spans="1:32" s="28" customFormat="1" x14ac:dyDescent="0.25">
      <c r="A300" s="61" t="s">
        <v>1012</v>
      </c>
      <c r="B300" s="28" t="s">
        <v>1013</v>
      </c>
      <c r="D300" s="28" t="s">
        <v>152</v>
      </c>
      <c r="E300" s="28" t="s">
        <v>1789</v>
      </c>
      <c r="F300" s="69">
        <v>23914</v>
      </c>
      <c r="G300" s="69"/>
      <c r="T300" s="29"/>
      <c r="U300" s="29"/>
      <c r="V300" s="29"/>
      <c r="W300" s="29"/>
      <c r="X300" s="29"/>
      <c r="Y300" s="29"/>
      <c r="Z300" s="29"/>
      <c r="AA300" s="29"/>
      <c r="AB300" s="30"/>
      <c r="AC300" s="29"/>
      <c r="AD300" s="29"/>
    </row>
    <row r="301" spans="1:32" s="28" customFormat="1" x14ac:dyDescent="0.25">
      <c r="A301" s="61" t="s">
        <v>1014</v>
      </c>
      <c r="B301" s="28" t="s">
        <v>1015</v>
      </c>
      <c r="D301" s="28" t="s">
        <v>638</v>
      </c>
      <c r="E301" s="28" t="s">
        <v>1789</v>
      </c>
      <c r="F301" s="69" t="s">
        <v>1757</v>
      </c>
      <c r="G301" s="69"/>
      <c r="T301" s="29"/>
      <c r="U301" s="29"/>
      <c r="V301" s="29"/>
      <c r="W301" s="29"/>
      <c r="X301" s="29"/>
      <c r="Y301" s="29"/>
      <c r="Z301" s="29"/>
      <c r="AA301" s="29"/>
      <c r="AB301" s="30"/>
      <c r="AC301" s="29"/>
      <c r="AD301" s="29"/>
    </row>
    <row r="302" spans="1:32" s="28" customFormat="1" x14ac:dyDescent="0.25">
      <c r="A302" s="61" t="s">
        <v>1016</v>
      </c>
      <c r="B302" s="28" t="s">
        <v>1017</v>
      </c>
      <c r="D302" s="28" t="s">
        <v>296</v>
      </c>
      <c r="E302" s="28" t="s">
        <v>1789</v>
      </c>
      <c r="F302" s="69" t="s">
        <v>1758</v>
      </c>
      <c r="G302" s="69"/>
      <c r="T302" s="29"/>
      <c r="U302" s="29"/>
      <c r="V302" s="29"/>
      <c r="W302" s="29"/>
      <c r="X302" s="29"/>
      <c r="Y302" s="29"/>
      <c r="Z302" s="29"/>
      <c r="AA302" s="29"/>
      <c r="AB302" s="30"/>
      <c r="AC302" s="29"/>
      <c r="AD302" s="29"/>
    </row>
    <row r="303" spans="1:32" s="28" customFormat="1" x14ac:dyDescent="0.25">
      <c r="A303" s="61" t="s">
        <v>1018</v>
      </c>
      <c r="B303" s="28" t="s">
        <v>1019</v>
      </c>
      <c r="D303" s="28" t="s">
        <v>152</v>
      </c>
      <c r="E303" s="28" t="s">
        <v>1789</v>
      </c>
      <c r="F303" s="69" t="s">
        <v>1759</v>
      </c>
      <c r="G303" s="69"/>
      <c r="T303" s="29"/>
      <c r="U303" s="29"/>
      <c r="V303" s="29"/>
      <c r="W303" s="29"/>
      <c r="X303" s="29"/>
      <c r="Y303" s="29"/>
      <c r="Z303" s="29"/>
      <c r="AA303" s="29"/>
      <c r="AB303" s="30"/>
      <c r="AC303" s="29"/>
      <c r="AD303" s="29"/>
    </row>
    <row r="304" spans="1:32" s="28" customFormat="1" x14ac:dyDescent="0.25">
      <c r="A304" s="61" t="s">
        <v>1020</v>
      </c>
      <c r="B304" s="28" t="s">
        <v>1021</v>
      </c>
      <c r="D304" s="28" t="s">
        <v>152</v>
      </c>
      <c r="E304" s="28" t="s">
        <v>1789</v>
      </c>
      <c r="F304" s="69">
        <v>24110</v>
      </c>
      <c r="G304" s="69"/>
      <c r="T304" s="29"/>
      <c r="U304" s="29"/>
      <c r="V304" s="29"/>
      <c r="W304" s="29"/>
      <c r="X304" s="29"/>
      <c r="Y304" s="29"/>
      <c r="Z304" s="29"/>
      <c r="AA304" s="29"/>
      <c r="AB304" s="30"/>
      <c r="AC304" s="29"/>
      <c r="AD304" s="29"/>
    </row>
    <row r="305" spans="1:31" s="28" customFormat="1" x14ac:dyDescent="0.25">
      <c r="A305" s="61" t="s">
        <v>1022</v>
      </c>
      <c r="B305" s="28" t="s">
        <v>1023</v>
      </c>
      <c r="D305" s="28" t="s">
        <v>152</v>
      </c>
      <c r="E305" s="28" t="s">
        <v>1789</v>
      </c>
      <c r="F305" s="69">
        <v>24320</v>
      </c>
      <c r="G305" s="69"/>
      <c r="T305" s="29"/>
      <c r="U305" s="29"/>
      <c r="V305" s="29"/>
      <c r="W305" s="29"/>
      <c r="X305" s="29"/>
      <c r="Y305" s="29"/>
      <c r="Z305" s="29"/>
      <c r="AA305" s="29"/>
      <c r="AB305" s="30"/>
      <c r="AC305" s="29"/>
      <c r="AD305" s="29"/>
    </row>
    <row r="306" spans="1:31" s="28" customFormat="1" x14ac:dyDescent="0.25">
      <c r="A306" s="61" t="s">
        <v>1024</v>
      </c>
      <c r="B306" s="28" t="s">
        <v>1025</v>
      </c>
      <c r="D306" s="28" t="s">
        <v>152</v>
      </c>
      <c r="E306" s="28" t="s">
        <v>1789</v>
      </c>
      <c r="F306" s="69">
        <v>24490</v>
      </c>
      <c r="G306" s="69"/>
      <c r="T306" s="29"/>
      <c r="U306" s="29"/>
      <c r="V306" s="29"/>
      <c r="W306" s="29"/>
      <c r="X306" s="29"/>
      <c r="Y306" s="29"/>
      <c r="Z306" s="29"/>
      <c r="AA306" s="29"/>
      <c r="AB306" s="30"/>
      <c r="AC306" s="29"/>
      <c r="AD306" s="29"/>
    </row>
    <row r="307" spans="1:31" s="28" customFormat="1" x14ac:dyDescent="0.25">
      <c r="A307" s="61" t="s">
        <v>1026</v>
      </c>
      <c r="B307" s="28" t="s">
        <v>1027</v>
      </c>
      <c r="D307" s="28" t="s">
        <v>152</v>
      </c>
      <c r="E307" s="28" t="s">
        <v>1789</v>
      </c>
      <c r="F307" s="69">
        <v>34120</v>
      </c>
      <c r="G307" s="69"/>
      <c r="T307" s="29"/>
      <c r="U307" s="29"/>
      <c r="V307" s="29"/>
      <c r="W307" s="29"/>
      <c r="X307" s="29"/>
      <c r="Y307" s="29"/>
      <c r="Z307" s="29"/>
      <c r="AA307" s="29"/>
      <c r="AB307" s="30"/>
      <c r="AC307" s="29"/>
      <c r="AD307" s="29"/>
    </row>
    <row r="308" spans="1:31" s="28" customFormat="1" x14ac:dyDescent="0.25">
      <c r="A308" s="61" t="s">
        <v>1028</v>
      </c>
      <c r="B308" s="28" t="s">
        <v>1029</v>
      </c>
      <c r="D308" s="28" t="s">
        <v>152</v>
      </c>
      <c r="E308" s="28" t="s">
        <v>1789</v>
      </c>
      <c r="F308" s="69">
        <v>34550</v>
      </c>
      <c r="G308" s="69"/>
      <c r="T308" s="29"/>
      <c r="U308" s="29"/>
      <c r="V308" s="29"/>
      <c r="W308" s="29"/>
      <c r="X308" s="29"/>
      <c r="Y308" s="29"/>
      <c r="Z308" s="29"/>
      <c r="AA308" s="29"/>
      <c r="AB308" s="30"/>
      <c r="AC308" s="29"/>
      <c r="AD308" s="29"/>
    </row>
    <row r="309" spans="1:31" s="31" customFormat="1" x14ac:dyDescent="0.25">
      <c r="A309" s="36" t="s">
        <v>1030</v>
      </c>
      <c r="B309" s="31" t="s">
        <v>1031</v>
      </c>
      <c r="C309" s="31" t="s">
        <v>1032</v>
      </c>
      <c r="D309" s="31" t="s">
        <v>296</v>
      </c>
      <c r="E309" s="31" t="s">
        <v>1791</v>
      </c>
      <c r="F309" s="66" t="s">
        <v>1760</v>
      </c>
      <c r="G309" s="66">
        <v>111</v>
      </c>
      <c r="H309" s="31">
        <v>17</v>
      </c>
      <c r="I309" s="31">
        <v>15</v>
      </c>
      <c r="Q309" s="31" t="s">
        <v>165</v>
      </c>
      <c r="T309" s="32">
        <v>87</v>
      </c>
      <c r="U309" s="32">
        <v>18.899999999999999</v>
      </c>
      <c r="V309" s="32">
        <v>13.5</v>
      </c>
      <c r="W309" s="32">
        <v>10.8</v>
      </c>
      <c r="X309" s="32">
        <v>11</v>
      </c>
      <c r="Y309" s="32">
        <v>10.199999999999999</v>
      </c>
      <c r="Z309" s="32">
        <f>AVERAGE(7.8,7.4)</f>
        <v>7.6</v>
      </c>
      <c r="AA309" s="32">
        <v>17.3</v>
      </c>
      <c r="AB309" s="33">
        <f>AA309/6.25/100</f>
        <v>2.7680000000000003E-2</v>
      </c>
      <c r="AC309" s="32">
        <v>68.2</v>
      </c>
      <c r="AD309" s="32">
        <v>64.900000000000006</v>
      </c>
      <c r="AE309" s="31" t="s">
        <v>1033</v>
      </c>
    </row>
    <row r="310" spans="1:31" s="31" customFormat="1" x14ac:dyDescent="0.25">
      <c r="A310" s="36" t="s">
        <v>1034</v>
      </c>
      <c r="B310" s="31" t="s">
        <v>1035</v>
      </c>
      <c r="C310" s="31" t="s">
        <v>1032</v>
      </c>
      <c r="D310" s="31" t="s">
        <v>296</v>
      </c>
      <c r="E310" s="31" t="s">
        <v>1791</v>
      </c>
      <c r="F310" s="66" t="s">
        <v>1761</v>
      </c>
      <c r="G310" s="66">
        <v>113</v>
      </c>
      <c r="H310" s="31">
        <v>35</v>
      </c>
      <c r="I310" s="31">
        <v>27</v>
      </c>
      <c r="K310" s="31" t="s">
        <v>31</v>
      </c>
      <c r="L310" s="31" t="s">
        <v>31</v>
      </c>
      <c r="M310" s="31" t="s">
        <v>31</v>
      </c>
      <c r="N310" s="31" t="s">
        <v>31</v>
      </c>
      <c r="O310" s="31" t="s">
        <v>31</v>
      </c>
      <c r="P310" s="31" t="s">
        <v>32</v>
      </c>
      <c r="Q310" s="31" t="s">
        <v>165</v>
      </c>
      <c r="T310" s="32">
        <v>90.5</v>
      </c>
      <c r="U310" s="32">
        <v>20.3</v>
      </c>
      <c r="V310" s="32">
        <v>13.87</v>
      </c>
      <c r="W310" s="32">
        <v>13.8</v>
      </c>
      <c r="X310" s="32">
        <v>11.42</v>
      </c>
      <c r="Y310" s="32">
        <v>13.27</v>
      </c>
      <c r="Z310" s="32">
        <v>11.57</v>
      </c>
      <c r="AA310" s="32">
        <v>12.62</v>
      </c>
      <c r="AB310" s="33">
        <f>AA310/6.25/100</f>
        <v>2.0191999999999998E-2</v>
      </c>
      <c r="AC310" s="31">
        <v>59.32</v>
      </c>
      <c r="AD310" s="32">
        <v>74.2</v>
      </c>
      <c r="AE310" s="31" t="s">
        <v>1036</v>
      </c>
    </row>
    <row r="311" spans="1:31" s="28" customFormat="1" x14ac:dyDescent="0.25">
      <c r="A311" s="61" t="s">
        <v>1037</v>
      </c>
      <c r="B311" s="28" t="s">
        <v>1038</v>
      </c>
      <c r="C311" s="28" t="s">
        <v>1032</v>
      </c>
      <c r="D311" s="28" t="s">
        <v>296</v>
      </c>
      <c r="E311" s="28" t="s">
        <v>1789</v>
      </c>
      <c r="F311" s="69" t="s">
        <v>1762</v>
      </c>
      <c r="G311" s="69"/>
      <c r="T311" s="29"/>
      <c r="U311" s="29"/>
      <c r="V311" s="29"/>
      <c r="W311" s="29"/>
      <c r="X311" s="29"/>
      <c r="Y311" s="29"/>
      <c r="Z311" s="29"/>
      <c r="AA311" s="29"/>
      <c r="AB311" s="30"/>
      <c r="AC311" s="29"/>
      <c r="AD311" s="29"/>
    </row>
    <row r="312" spans="1:31" s="31" customFormat="1" x14ac:dyDescent="0.25">
      <c r="A312" s="36" t="s">
        <v>1039</v>
      </c>
      <c r="B312" s="31" t="s">
        <v>1040</v>
      </c>
      <c r="C312" s="31" t="s">
        <v>1032</v>
      </c>
      <c r="D312" s="31" t="s">
        <v>296</v>
      </c>
      <c r="E312" s="31" t="s">
        <v>1791</v>
      </c>
      <c r="F312" s="66" t="s">
        <v>1763</v>
      </c>
      <c r="G312" s="66">
        <v>112</v>
      </c>
      <c r="H312" s="31">
        <v>59</v>
      </c>
      <c r="I312" s="31">
        <v>56</v>
      </c>
      <c r="Q312" s="31" t="s">
        <v>165</v>
      </c>
      <c r="T312" s="32">
        <v>88.7</v>
      </c>
      <c r="U312" s="32">
        <v>18.5</v>
      </c>
      <c r="V312" s="32">
        <v>13.4</v>
      </c>
      <c r="W312" s="32">
        <v>10.1</v>
      </c>
      <c r="X312" s="32">
        <v>11</v>
      </c>
      <c r="Y312" s="32">
        <v>9.6999999999999993</v>
      </c>
      <c r="Z312" s="32">
        <v>8.8000000000000007</v>
      </c>
      <c r="AA312" s="32">
        <v>11.9</v>
      </c>
      <c r="AB312" s="33">
        <f>AA312/6.25/100</f>
        <v>1.9040000000000001E-2</v>
      </c>
      <c r="AC312" s="32">
        <v>92.3</v>
      </c>
      <c r="AD312" s="32">
        <v>45.5</v>
      </c>
      <c r="AE312" s="35" t="s">
        <v>1041</v>
      </c>
    </row>
    <row r="313" spans="1:31" s="31" customFormat="1" x14ac:dyDescent="0.25">
      <c r="A313" s="36" t="s">
        <v>1042</v>
      </c>
      <c r="B313" s="31" t="s">
        <v>1043</v>
      </c>
      <c r="C313" s="31" t="s">
        <v>1032</v>
      </c>
      <c r="D313" s="31" t="s">
        <v>296</v>
      </c>
      <c r="E313" s="31" t="s">
        <v>1791</v>
      </c>
      <c r="F313" s="66" t="s">
        <v>1764</v>
      </c>
      <c r="G313" s="66">
        <v>116</v>
      </c>
      <c r="H313" s="31">
        <v>73</v>
      </c>
      <c r="I313" s="31">
        <v>71</v>
      </c>
      <c r="J313" s="31" t="s">
        <v>1044</v>
      </c>
      <c r="K313" s="31" t="s">
        <v>31</v>
      </c>
      <c r="L313" s="31" t="s">
        <v>31</v>
      </c>
      <c r="M313" s="31" t="s">
        <v>31</v>
      </c>
      <c r="N313" s="31" t="s">
        <v>31</v>
      </c>
      <c r="P313" s="31" t="s">
        <v>32</v>
      </c>
      <c r="Q313" s="31" t="s">
        <v>165</v>
      </c>
      <c r="T313" s="32">
        <v>88</v>
      </c>
      <c r="U313" s="32">
        <v>18.5</v>
      </c>
      <c r="V313" s="32">
        <v>14.5</v>
      </c>
      <c r="W313" s="32">
        <v>14.8</v>
      </c>
      <c r="X313" s="32">
        <v>11.9</v>
      </c>
      <c r="Y313" s="32">
        <v>14.1</v>
      </c>
      <c r="Z313" s="32"/>
      <c r="AA313" s="32">
        <v>16.899999999999999</v>
      </c>
      <c r="AB313" s="33">
        <f>AA313/6.25/100</f>
        <v>2.7039999999999998E-2</v>
      </c>
      <c r="AC313" s="32">
        <v>83</v>
      </c>
      <c r="AD313" s="32"/>
      <c r="AE313" s="34" t="s">
        <v>1045</v>
      </c>
    </row>
    <row r="314" spans="1:31" s="31" customFormat="1" x14ac:dyDescent="0.25">
      <c r="A314" s="36" t="s">
        <v>1046</v>
      </c>
      <c r="B314" s="31" t="s">
        <v>1047</v>
      </c>
      <c r="C314" s="31" t="s">
        <v>1032</v>
      </c>
      <c r="D314" s="31" t="s">
        <v>296</v>
      </c>
      <c r="E314" s="31" t="s">
        <v>1791</v>
      </c>
      <c r="F314" s="66" t="s">
        <v>1765</v>
      </c>
      <c r="G314" s="66">
        <v>117</v>
      </c>
      <c r="H314" s="31">
        <v>77</v>
      </c>
      <c r="I314" s="31">
        <v>75</v>
      </c>
      <c r="Q314" s="31" t="s">
        <v>165</v>
      </c>
      <c r="T314" s="32">
        <v>90.6</v>
      </c>
      <c r="U314" s="32">
        <v>19.8</v>
      </c>
      <c r="V314" s="32">
        <v>16.7</v>
      </c>
      <c r="W314" s="31">
        <v>16.600000000000001</v>
      </c>
      <c r="X314" s="32">
        <v>13.7</v>
      </c>
      <c r="Y314" s="32">
        <v>15.9</v>
      </c>
      <c r="Z314" s="32"/>
      <c r="AA314" s="32">
        <v>19.3</v>
      </c>
      <c r="AB314" s="33">
        <f>AA314/6.25/100</f>
        <v>3.0880000000000001E-2</v>
      </c>
      <c r="AC314" s="32"/>
      <c r="AD314" s="32"/>
      <c r="AE314" s="31" t="s">
        <v>1048</v>
      </c>
    </row>
    <row r="315" spans="1:31" s="31" customFormat="1" x14ac:dyDescent="0.25">
      <c r="A315" s="36" t="s">
        <v>1049</v>
      </c>
      <c r="B315" s="31" t="s">
        <v>1050</v>
      </c>
      <c r="C315" s="31" t="s">
        <v>1032</v>
      </c>
      <c r="D315" s="31" t="s">
        <v>296</v>
      </c>
      <c r="E315" s="31" t="s">
        <v>1791</v>
      </c>
      <c r="F315" s="66" t="s">
        <v>1766</v>
      </c>
      <c r="G315" s="66">
        <v>118</v>
      </c>
      <c r="H315" s="31">
        <v>81</v>
      </c>
      <c r="I315" s="31">
        <v>79</v>
      </c>
      <c r="J315" s="31" t="s">
        <v>1051</v>
      </c>
      <c r="Q315" s="31" t="s">
        <v>165</v>
      </c>
      <c r="T315" s="32">
        <v>92</v>
      </c>
      <c r="U315" s="32">
        <v>19</v>
      </c>
      <c r="V315" s="32">
        <v>15.4</v>
      </c>
      <c r="W315" s="32">
        <v>15.5</v>
      </c>
      <c r="X315" s="32">
        <v>12.8</v>
      </c>
      <c r="Y315" s="32"/>
      <c r="Z315" s="32"/>
      <c r="AA315" s="32">
        <v>13.7</v>
      </c>
      <c r="AB315" s="33">
        <f>AA315/6.25/100</f>
        <v>2.1919999999999999E-2</v>
      </c>
      <c r="AC315" s="32"/>
      <c r="AD315" s="32"/>
      <c r="AE315" s="31" t="s">
        <v>1052</v>
      </c>
    </row>
    <row r="316" spans="1:31" s="28" customFormat="1" x14ac:dyDescent="0.25">
      <c r="A316" s="61" t="s">
        <v>1053</v>
      </c>
      <c r="B316" s="28" t="s">
        <v>1054</v>
      </c>
      <c r="C316" s="28" t="s">
        <v>1032</v>
      </c>
      <c r="D316" s="28" t="s">
        <v>296</v>
      </c>
      <c r="E316" s="28" t="s">
        <v>1789</v>
      </c>
      <c r="F316" s="69" t="s">
        <v>1767</v>
      </c>
      <c r="G316" s="69">
        <v>114</v>
      </c>
      <c r="I316" s="28">
        <v>83</v>
      </c>
      <c r="T316" s="29"/>
      <c r="U316" s="29"/>
      <c r="V316" s="29"/>
      <c r="W316" s="29"/>
      <c r="X316" s="29"/>
      <c r="Y316" s="29"/>
      <c r="Z316" s="29"/>
      <c r="AA316" s="29"/>
      <c r="AB316" s="30"/>
      <c r="AC316" s="29"/>
      <c r="AD316" s="29"/>
    </row>
    <row r="317" spans="1:31" s="31" customFormat="1" x14ac:dyDescent="0.25">
      <c r="A317" s="36" t="s">
        <v>1055</v>
      </c>
      <c r="B317" s="31" t="s">
        <v>1056</v>
      </c>
      <c r="C317" s="31" t="s">
        <v>1032</v>
      </c>
      <c r="D317" s="31" t="s">
        <v>296</v>
      </c>
      <c r="E317" s="31" t="s">
        <v>1791</v>
      </c>
      <c r="F317" s="66" t="s">
        <v>1768</v>
      </c>
      <c r="G317" s="66">
        <v>1192</v>
      </c>
      <c r="H317" s="31">
        <v>91</v>
      </c>
      <c r="I317" s="31">
        <v>89</v>
      </c>
      <c r="Q317" s="31" t="s">
        <v>165</v>
      </c>
      <c r="T317" s="32">
        <v>88.45</v>
      </c>
      <c r="U317" s="32">
        <v>19.95</v>
      </c>
      <c r="V317" s="32">
        <v>13.88</v>
      </c>
      <c r="W317" s="32">
        <v>13.35</v>
      </c>
      <c r="X317" s="32">
        <v>11.1</v>
      </c>
      <c r="Y317" s="32">
        <v>12.65</v>
      </c>
      <c r="Z317" s="32">
        <v>12.65</v>
      </c>
      <c r="AA317" s="32">
        <v>26.45</v>
      </c>
      <c r="AB317" s="33">
        <f>AA317/6.25/100</f>
        <v>4.2320000000000003E-2</v>
      </c>
      <c r="AC317" s="32">
        <v>70.5</v>
      </c>
      <c r="AD317" s="32">
        <v>70.099999999999994</v>
      </c>
      <c r="AE317" s="31" t="s">
        <v>1057</v>
      </c>
    </row>
    <row r="318" spans="1:31" s="28" customFormat="1" x14ac:dyDescent="0.25">
      <c r="A318" s="61" t="s">
        <v>1058</v>
      </c>
      <c r="B318" s="28" t="s">
        <v>1059</v>
      </c>
      <c r="C318" s="28" t="s">
        <v>1032</v>
      </c>
      <c r="D318" s="28" t="s">
        <v>296</v>
      </c>
      <c r="E318" s="28" t="s">
        <v>1789</v>
      </c>
      <c r="F318" s="69" t="s">
        <v>1769</v>
      </c>
      <c r="G318" s="69"/>
      <c r="T318" s="29"/>
      <c r="U318" s="29"/>
      <c r="V318" s="29"/>
      <c r="W318" s="29"/>
      <c r="X318" s="29"/>
      <c r="Y318" s="29"/>
      <c r="Z318" s="29"/>
      <c r="AA318" s="29"/>
      <c r="AB318" s="30"/>
      <c r="AC318" s="29"/>
      <c r="AD318" s="29"/>
    </row>
    <row r="319" spans="1:31" s="28" customFormat="1" x14ac:dyDescent="0.25">
      <c r="A319" s="61" t="s">
        <v>1060</v>
      </c>
      <c r="B319" s="28" t="s">
        <v>1061</v>
      </c>
      <c r="C319" s="28" t="s">
        <v>1032</v>
      </c>
      <c r="D319" s="28" t="s">
        <v>296</v>
      </c>
      <c r="E319" s="28" t="s">
        <v>1789</v>
      </c>
      <c r="F319" s="69" t="s">
        <v>1770</v>
      </c>
      <c r="G319" s="69"/>
      <c r="T319" s="29"/>
      <c r="U319" s="29"/>
      <c r="V319" s="29"/>
      <c r="W319" s="29"/>
      <c r="X319" s="29"/>
      <c r="Y319" s="29"/>
      <c r="Z319" s="29"/>
      <c r="AA319" s="29"/>
      <c r="AB319" s="30"/>
      <c r="AC319" s="29"/>
      <c r="AD319" s="29"/>
    </row>
    <row r="320" spans="1:31" s="31" customFormat="1" x14ac:dyDescent="0.25">
      <c r="A320" s="36" t="s">
        <v>1062</v>
      </c>
      <c r="B320" s="31" t="s">
        <v>1063</v>
      </c>
      <c r="C320" s="31" t="s">
        <v>1032</v>
      </c>
      <c r="D320" s="31" t="s">
        <v>296</v>
      </c>
      <c r="E320" s="31" t="s">
        <v>1791</v>
      </c>
      <c r="F320" s="66" t="s">
        <v>1771</v>
      </c>
      <c r="G320" s="66" t="s">
        <v>1611</v>
      </c>
      <c r="H320" s="31">
        <v>105</v>
      </c>
      <c r="I320" s="31">
        <v>103</v>
      </c>
      <c r="J320" s="31" t="s">
        <v>1064</v>
      </c>
      <c r="P320" s="31" t="s">
        <v>32</v>
      </c>
      <c r="Q320" s="31" t="s">
        <v>165</v>
      </c>
      <c r="T320" s="32">
        <v>89.4</v>
      </c>
      <c r="U320" s="32">
        <v>19.489999999999899</v>
      </c>
      <c r="V320" s="32">
        <v>14.42</v>
      </c>
      <c r="W320" s="32">
        <v>13.559999999999899</v>
      </c>
      <c r="X320" s="32">
        <v>11.8599999999999</v>
      </c>
      <c r="Y320" s="32">
        <v>12.911111111111101</v>
      </c>
      <c r="Z320" s="32">
        <v>9.8583333333333307</v>
      </c>
      <c r="AA320" s="32">
        <v>14.53</v>
      </c>
      <c r="AB320" s="33">
        <v>2.3248000000000001E-2</v>
      </c>
      <c r="AC320" s="32">
        <v>69.7</v>
      </c>
      <c r="AD320" s="32">
        <v>66.099999999999994</v>
      </c>
      <c r="AE320" s="31" t="s">
        <v>1065</v>
      </c>
    </row>
    <row r="321" spans="1:32" s="28" customFormat="1" x14ac:dyDescent="0.25">
      <c r="A321" s="61" t="s">
        <v>1066</v>
      </c>
      <c r="B321" s="28" t="s">
        <v>1067</v>
      </c>
      <c r="C321" s="28" t="s">
        <v>1032</v>
      </c>
      <c r="D321" s="28" t="s">
        <v>296</v>
      </c>
      <c r="E321" s="28" t="s">
        <v>1789</v>
      </c>
      <c r="F321" s="69" t="s">
        <v>1772</v>
      </c>
      <c r="G321" s="69"/>
      <c r="T321" s="29"/>
      <c r="U321" s="29"/>
      <c r="V321" s="29"/>
      <c r="W321" s="29"/>
      <c r="X321" s="29"/>
      <c r="Y321" s="29"/>
      <c r="Z321" s="29"/>
      <c r="AA321" s="29"/>
      <c r="AB321" s="30"/>
      <c r="AC321" s="29"/>
      <c r="AD321" s="29"/>
    </row>
    <row r="322" spans="1:32" s="28" customFormat="1" x14ac:dyDescent="0.25">
      <c r="A322" s="61" t="s">
        <v>1068</v>
      </c>
      <c r="B322" s="28" t="s">
        <v>1069</v>
      </c>
      <c r="D322" s="28" t="s">
        <v>296</v>
      </c>
      <c r="E322" s="28" t="s">
        <v>1789</v>
      </c>
      <c r="F322" s="69" t="s">
        <v>1773</v>
      </c>
      <c r="G322" s="69"/>
      <c r="T322" s="29"/>
      <c r="U322" s="29"/>
      <c r="V322" s="29"/>
      <c r="W322" s="29"/>
      <c r="X322" s="29"/>
      <c r="Y322" s="29"/>
      <c r="Z322" s="29"/>
      <c r="AA322" s="29"/>
      <c r="AB322" s="30"/>
      <c r="AC322" s="29"/>
      <c r="AD322" s="29"/>
    </row>
    <row r="323" spans="1:32" s="28" customFormat="1" x14ac:dyDescent="0.25">
      <c r="A323" s="61" t="s">
        <v>1070</v>
      </c>
      <c r="B323" s="28" t="s">
        <v>1071</v>
      </c>
      <c r="D323" s="28" t="s">
        <v>296</v>
      </c>
      <c r="E323" s="28" t="s">
        <v>1789</v>
      </c>
      <c r="F323" s="69" t="s">
        <v>1774</v>
      </c>
      <c r="G323" s="69"/>
      <c r="T323" s="29"/>
      <c r="U323" s="29"/>
      <c r="V323" s="29"/>
      <c r="W323" s="29"/>
      <c r="X323" s="29"/>
      <c r="Y323" s="29"/>
      <c r="Z323" s="29"/>
      <c r="AA323" s="29"/>
      <c r="AB323" s="30"/>
      <c r="AC323" s="29"/>
      <c r="AD323" s="29"/>
    </row>
    <row r="324" spans="1:32" s="31" customFormat="1" x14ac:dyDescent="0.25">
      <c r="A324" s="36" t="s">
        <v>1072</v>
      </c>
      <c r="B324" s="31" t="s">
        <v>1073</v>
      </c>
      <c r="D324" s="31" t="s">
        <v>296</v>
      </c>
      <c r="E324" s="31" t="s">
        <v>1791</v>
      </c>
      <c r="F324" s="66" t="s">
        <v>1775</v>
      </c>
      <c r="G324" s="66">
        <v>1330</v>
      </c>
      <c r="H324" s="31">
        <v>566</v>
      </c>
      <c r="I324" s="31">
        <v>560</v>
      </c>
      <c r="J324" s="31" t="s">
        <v>1074</v>
      </c>
      <c r="Q324" s="31" t="s">
        <v>165</v>
      </c>
      <c r="T324" s="32">
        <v>91.2</v>
      </c>
      <c r="U324" s="32">
        <v>19.100000000000001</v>
      </c>
      <c r="V324" s="32">
        <f>U324*0.38</f>
        <v>7.2580000000000009</v>
      </c>
      <c r="W324" s="32">
        <v>8.9</v>
      </c>
      <c r="X324" s="32">
        <v>5.5</v>
      </c>
      <c r="Y324" s="32">
        <v>8.3000000000000007</v>
      </c>
      <c r="Z324" s="32">
        <f>AVERAGE(5.2,4.9)</f>
        <v>5.0500000000000007</v>
      </c>
      <c r="AA324" s="32">
        <v>13.6</v>
      </c>
      <c r="AB324" s="33">
        <f>AA324/6.25/100</f>
        <v>2.1760000000000002E-2</v>
      </c>
      <c r="AC324" s="32">
        <v>52.3</v>
      </c>
      <c r="AD324" s="32">
        <v>47.6</v>
      </c>
      <c r="AE324" s="31" t="s">
        <v>1075</v>
      </c>
    </row>
    <row r="325" spans="1:32" s="28" customFormat="1" x14ac:dyDescent="0.25">
      <c r="A325" s="61" t="s">
        <v>1076</v>
      </c>
      <c r="B325" s="28" t="s">
        <v>1077</v>
      </c>
      <c r="D325" s="28" t="s">
        <v>152</v>
      </c>
      <c r="E325" s="28" t="s">
        <v>1789</v>
      </c>
      <c r="F325" s="69" t="s">
        <v>1776</v>
      </c>
      <c r="G325" s="69"/>
      <c r="T325" s="29"/>
      <c r="U325" s="29"/>
      <c r="V325" s="29"/>
      <c r="W325" s="29"/>
      <c r="X325" s="29"/>
      <c r="Y325" s="29"/>
      <c r="Z325" s="29"/>
      <c r="AA325" s="29"/>
      <c r="AB325" s="30"/>
      <c r="AC325" s="29"/>
      <c r="AD325" s="29"/>
    </row>
    <row r="326" spans="1:32" s="28" customFormat="1" x14ac:dyDescent="0.25">
      <c r="A326" s="61" t="s">
        <v>1078</v>
      </c>
      <c r="B326" s="28" t="s">
        <v>1079</v>
      </c>
      <c r="C326" s="28" t="s">
        <v>435</v>
      </c>
      <c r="D326" s="28" t="s">
        <v>29</v>
      </c>
      <c r="E326" s="28" t="s">
        <v>1789</v>
      </c>
      <c r="F326" s="69" t="s">
        <v>1777</v>
      </c>
      <c r="G326" s="69" t="s">
        <v>237</v>
      </c>
      <c r="H326" s="28" t="s">
        <v>237</v>
      </c>
      <c r="I326" s="28" t="s">
        <v>237</v>
      </c>
      <c r="J326" s="28" t="s">
        <v>1080</v>
      </c>
      <c r="P326" s="28" t="s">
        <v>32</v>
      </c>
      <c r="Q326" s="28" t="s">
        <v>237</v>
      </c>
      <c r="T326" s="29"/>
      <c r="U326" s="29">
        <v>18.5</v>
      </c>
      <c r="V326" s="29"/>
      <c r="W326" s="29"/>
      <c r="X326" s="29"/>
      <c r="Y326" s="29"/>
      <c r="Z326" s="29"/>
      <c r="AA326" s="29"/>
      <c r="AB326" s="30"/>
      <c r="AC326" s="29"/>
      <c r="AD326" s="29"/>
    </row>
    <row r="327" spans="1:32" s="28" customFormat="1" x14ac:dyDescent="0.25">
      <c r="A327" s="61" t="s">
        <v>1081</v>
      </c>
      <c r="B327" s="28" t="s">
        <v>1082</v>
      </c>
      <c r="D327" s="28" t="s">
        <v>296</v>
      </c>
      <c r="E327" s="28" t="s">
        <v>1789</v>
      </c>
      <c r="F327" s="69" t="s">
        <v>1778</v>
      </c>
      <c r="G327" s="69"/>
      <c r="T327" s="29"/>
      <c r="U327" s="29"/>
      <c r="V327" s="29"/>
      <c r="W327" s="29"/>
      <c r="X327" s="29"/>
      <c r="Y327" s="29"/>
      <c r="Z327" s="29"/>
      <c r="AA327" s="29"/>
      <c r="AB327" s="30"/>
      <c r="AC327" s="29"/>
      <c r="AD327" s="29"/>
    </row>
    <row r="328" spans="1:32" s="28" customFormat="1" x14ac:dyDescent="0.25">
      <c r="A328" s="61" t="s">
        <v>1083</v>
      </c>
      <c r="B328" s="28" t="s">
        <v>1084</v>
      </c>
      <c r="D328" s="28" t="s">
        <v>296</v>
      </c>
      <c r="E328" s="28" t="s">
        <v>1789</v>
      </c>
      <c r="F328" s="69" t="s">
        <v>1779</v>
      </c>
      <c r="G328" s="69"/>
      <c r="T328" s="29"/>
      <c r="U328" s="29"/>
      <c r="V328" s="29"/>
      <c r="W328" s="29"/>
      <c r="X328" s="29"/>
      <c r="Y328" s="29"/>
      <c r="Z328" s="29"/>
      <c r="AA328" s="29"/>
      <c r="AB328" s="30"/>
      <c r="AC328" s="29"/>
      <c r="AD328" s="29"/>
    </row>
    <row r="329" spans="1:32" s="31" customFormat="1" x14ac:dyDescent="0.25">
      <c r="A329" s="36" t="s">
        <v>1085</v>
      </c>
      <c r="B329" s="31" t="s">
        <v>1086</v>
      </c>
      <c r="D329" s="31" t="s">
        <v>296</v>
      </c>
      <c r="E329" s="31" t="s">
        <v>1791</v>
      </c>
      <c r="F329" s="66" t="s">
        <v>1780</v>
      </c>
      <c r="G329" s="66">
        <v>1510</v>
      </c>
      <c r="H329" s="31">
        <v>120</v>
      </c>
      <c r="I329" s="31">
        <v>116</v>
      </c>
      <c r="J329" s="31" t="s">
        <v>1088</v>
      </c>
      <c r="K329" s="31" t="s">
        <v>31</v>
      </c>
      <c r="L329" s="31" t="s">
        <v>31</v>
      </c>
      <c r="N329" s="31" t="s">
        <v>31</v>
      </c>
      <c r="O329" s="31" t="s">
        <v>31</v>
      </c>
      <c r="P329" s="31" t="s">
        <v>32</v>
      </c>
      <c r="Q329" s="31" t="s">
        <v>165</v>
      </c>
      <c r="T329" s="32">
        <v>20.100000000000001</v>
      </c>
      <c r="U329" s="32">
        <v>17.100000000000001</v>
      </c>
      <c r="V329" s="32">
        <f>U329*0.76</f>
        <v>12.996</v>
      </c>
      <c r="W329" s="32">
        <v>14.6</v>
      </c>
      <c r="X329" s="32">
        <v>10.3</v>
      </c>
      <c r="Y329" s="32"/>
      <c r="Z329" s="32"/>
      <c r="AA329" s="32">
        <v>10</v>
      </c>
      <c r="AB329" s="33">
        <f>AA329/6.25/100</f>
        <v>1.6E-2</v>
      </c>
      <c r="AC329" s="32">
        <v>60.3</v>
      </c>
      <c r="AD329" s="32">
        <v>66.099999999999994</v>
      </c>
      <c r="AE329" s="52" t="s">
        <v>1793</v>
      </c>
    </row>
    <row r="330" spans="1:32" s="31" customFormat="1" x14ac:dyDescent="0.25">
      <c r="A330" s="36" t="s">
        <v>1089</v>
      </c>
      <c r="B330" s="36" t="s">
        <v>1090</v>
      </c>
      <c r="C330" s="31" t="s">
        <v>1091</v>
      </c>
      <c r="D330" s="31" t="s">
        <v>296</v>
      </c>
      <c r="E330" s="31" t="s">
        <v>1791</v>
      </c>
      <c r="F330" s="66" t="s">
        <v>1781</v>
      </c>
      <c r="G330" s="66">
        <v>112</v>
      </c>
      <c r="H330" s="31">
        <v>846</v>
      </c>
      <c r="I330" s="31">
        <v>56</v>
      </c>
      <c r="J330" s="31" t="s">
        <v>1092</v>
      </c>
      <c r="P330" s="31" t="s">
        <v>38</v>
      </c>
      <c r="Q330" s="31" t="s">
        <v>165</v>
      </c>
      <c r="T330" s="32">
        <v>90</v>
      </c>
      <c r="U330" s="32">
        <v>23.1</v>
      </c>
      <c r="V330" s="32">
        <v>22.9</v>
      </c>
      <c r="W330" s="32">
        <v>21.4</v>
      </c>
      <c r="X330" s="32">
        <v>16.600000000000001</v>
      </c>
      <c r="Y330" s="32">
        <v>19.8</v>
      </c>
      <c r="Z330" s="32">
        <v>16.7</v>
      </c>
      <c r="AA330" s="32">
        <v>67.2</v>
      </c>
      <c r="AB330" s="33">
        <v>0.10752</v>
      </c>
      <c r="AC330" s="32">
        <v>81</v>
      </c>
      <c r="AD330" s="32">
        <v>86.2</v>
      </c>
      <c r="AE330" s="34" t="s">
        <v>1093</v>
      </c>
    </row>
    <row r="331" spans="1:32" s="31" customFormat="1" x14ac:dyDescent="0.25">
      <c r="A331" s="36" t="s">
        <v>1094</v>
      </c>
      <c r="B331" s="36" t="s">
        <v>1095</v>
      </c>
      <c r="C331" s="31" t="s">
        <v>1096</v>
      </c>
      <c r="D331" s="31" t="s">
        <v>296</v>
      </c>
      <c r="E331" s="31" t="s">
        <v>1791</v>
      </c>
      <c r="F331" s="66" t="s">
        <v>1781</v>
      </c>
      <c r="G331" s="66">
        <v>112</v>
      </c>
      <c r="H331" s="31">
        <v>846</v>
      </c>
      <c r="I331" s="31">
        <v>56</v>
      </c>
      <c r="J331" s="31" t="s">
        <v>1097</v>
      </c>
      <c r="P331" s="31" t="s">
        <v>38</v>
      </c>
      <c r="Q331" s="31" t="s">
        <v>165</v>
      </c>
      <c r="T331" s="32">
        <v>88.3</v>
      </c>
      <c r="U331" s="32">
        <v>18.8</v>
      </c>
      <c r="V331" s="32">
        <v>15.1</v>
      </c>
      <c r="W331" s="32">
        <v>12.3</v>
      </c>
      <c r="X331" s="32">
        <v>12.2</v>
      </c>
      <c r="Y331" s="32">
        <v>11.6</v>
      </c>
      <c r="Z331" s="32">
        <v>8.6</v>
      </c>
      <c r="AA331" s="32">
        <v>21.7</v>
      </c>
      <c r="AB331" s="33">
        <v>3.4720000000000001E-2</v>
      </c>
      <c r="AC331" s="32">
        <v>74.400000000000006</v>
      </c>
      <c r="AD331" s="32">
        <v>60.2</v>
      </c>
      <c r="AE331" s="34" t="s">
        <v>1098</v>
      </c>
    </row>
    <row r="332" spans="1:32" s="31" customFormat="1" ht="16.5" x14ac:dyDescent="0.25">
      <c r="A332" s="36" t="s">
        <v>1099</v>
      </c>
      <c r="B332" s="31" t="s">
        <v>1100</v>
      </c>
      <c r="D332" s="31" t="s">
        <v>296</v>
      </c>
      <c r="E332" s="31" t="s">
        <v>1791</v>
      </c>
      <c r="F332" s="66">
        <v>39141</v>
      </c>
      <c r="G332" s="66">
        <v>1802</v>
      </c>
      <c r="H332" s="27">
        <v>170</v>
      </c>
      <c r="I332" s="31">
        <v>156</v>
      </c>
      <c r="Q332" s="31" t="s">
        <v>165</v>
      </c>
      <c r="T332" s="32">
        <v>46</v>
      </c>
      <c r="U332" s="32">
        <v>18.399999999999999</v>
      </c>
      <c r="V332" s="32">
        <v>8.6</v>
      </c>
      <c r="W332" s="32">
        <v>3.3</v>
      </c>
      <c r="X332" s="32">
        <v>7</v>
      </c>
      <c r="Y332" s="32"/>
      <c r="Z332" s="32"/>
      <c r="AA332" s="32">
        <v>1.8</v>
      </c>
      <c r="AB332" s="33">
        <f>AA332/6.25/100</f>
        <v>2.8800000000000002E-3</v>
      </c>
      <c r="AC332" s="32"/>
      <c r="AD332" s="32"/>
      <c r="AE332" s="35" t="s">
        <v>1101</v>
      </c>
    </row>
    <row r="333" spans="1:32" s="31" customFormat="1" x14ac:dyDescent="0.25">
      <c r="A333" s="36" t="s">
        <v>1102</v>
      </c>
      <c r="B333" s="31" t="s">
        <v>1103</v>
      </c>
      <c r="C333" s="31" t="s">
        <v>1104</v>
      </c>
      <c r="D333" s="31" t="s">
        <v>296</v>
      </c>
      <c r="E333" s="31" t="s">
        <v>1791</v>
      </c>
      <c r="F333" s="66" t="s">
        <v>1782</v>
      </c>
      <c r="G333" s="66">
        <v>1801</v>
      </c>
      <c r="H333" s="31">
        <v>169</v>
      </c>
      <c r="I333" s="31">
        <v>157</v>
      </c>
      <c r="J333" s="31" t="s">
        <v>1105</v>
      </c>
      <c r="P333" s="31" t="s">
        <v>38</v>
      </c>
      <c r="Q333" s="31" t="s">
        <v>165</v>
      </c>
      <c r="T333" s="32">
        <v>88.8</v>
      </c>
      <c r="U333" s="32">
        <v>17.05</v>
      </c>
      <c r="V333" s="32">
        <v>13.810499999999999</v>
      </c>
      <c r="W333" s="32">
        <v>12.2</v>
      </c>
      <c r="X333" s="32">
        <v>11.4</v>
      </c>
      <c r="Y333" s="32">
        <v>11.5</v>
      </c>
      <c r="Z333" s="32">
        <v>2.8333333333333299</v>
      </c>
      <c r="AA333" s="32">
        <v>8.9</v>
      </c>
      <c r="AB333" s="33">
        <v>1.4239999999999999E-2</v>
      </c>
      <c r="AC333" s="32">
        <v>70</v>
      </c>
      <c r="AD333" s="32">
        <v>49</v>
      </c>
      <c r="AE333" s="34" t="s">
        <v>536</v>
      </c>
      <c r="AF333" s="31" t="s">
        <v>1106</v>
      </c>
    </row>
    <row r="334" spans="1:32" s="31" customFormat="1" ht="16.5" x14ac:dyDescent="0.25">
      <c r="A334" s="36" t="s">
        <v>1107</v>
      </c>
      <c r="B334" s="31" t="s">
        <v>1108</v>
      </c>
      <c r="D334" s="31" t="s">
        <v>296</v>
      </c>
      <c r="E334" s="31" t="s">
        <v>1791</v>
      </c>
      <c r="F334" s="66" t="s">
        <v>1783</v>
      </c>
      <c r="G334" s="66">
        <v>1610</v>
      </c>
      <c r="H334" s="27">
        <v>660</v>
      </c>
      <c r="I334" s="31">
        <v>656</v>
      </c>
      <c r="J334" s="31" t="s">
        <v>1109</v>
      </c>
      <c r="Q334" s="31" t="s">
        <v>165</v>
      </c>
      <c r="T334" s="32">
        <v>91.8</v>
      </c>
      <c r="U334" s="32">
        <v>17.2</v>
      </c>
      <c r="V334" s="32"/>
      <c r="W334" s="32">
        <v>10.5</v>
      </c>
      <c r="X334" s="32"/>
      <c r="Y334" s="32"/>
      <c r="Z334" s="32"/>
      <c r="AA334" s="32">
        <v>11.3</v>
      </c>
      <c r="AB334" s="33"/>
      <c r="AC334" s="32"/>
      <c r="AD334" s="32"/>
      <c r="AE334" s="31" t="s">
        <v>1110</v>
      </c>
    </row>
    <row r="335" spans="1:32" s="28" customFormat="1" x14ac:dyDescent="0.25">
      <c r="A335" s="61" t="s">
        <v>1111</v>
      </c>
      <c r="B335" s="28" t="s">
        <v>1112</v>
      </c>
      <c r="D335" s="28" t="s">
        <v>296</v>
      </c>
      <c r="E335" s="28" t="s">
        <v>1789</v>
      </c>
      <c r="F335" s="69" t="s">
        <v>1784</v>
      </c>
      <c r="G335" s="69"/>
      <c r="T335" s="29"/>
      <c r="U335" s="29"/>
      <c r="V335" s="29"/>
      <c r="W335" s="29"/>
      <c r="X335" s="29"/>
      <c r="Y335" s="29"/>
      <c r="Z335" s="29"/>
      <c r="AA335" s="29"/>
      <c r="AB335" s="30"/>
      <c r="AC335" s="29"/>
      <c r="AD335" s="29"/>
    </row>
    <row r="336" spans="1:32" s="31" customFormat="1" x14ac:dyDescent="0.25">
      <c r="A336" s="36" t="s">
        <v>1113</v>
      </c>
      <c r="B336" s="31" t="s">
        <v>1114</v>
      </c>
      <c r="C336" s="31" t="s">
        <v>1115</v>
      </c>
      <c r="D336" s="31" t="s">
        <v>296</v>
      </c>
      <c r="E336" s="31" t="s">
        <v>1791</v>
      </c>
      <c r="F336" s="66">
        <v>39160</v>
      </c>
      <c r="G336" s="66">
        <v>115</v>
      </c>
      <c r="H336" s="31">
        <v>654</v>
      </c>
      <c r="I336" s="31">
        <v>44</v>
      </c>
      <c r="J336" s="31" t="s">
        <v>1116</v>
      </c>
      <c r="P336" s="31" t="s">
        <v>32</v>
      </c>
      <c r="Q336" s="31" t="s">
        <v>165</v>
      </c>
      <c r="T336" s="32">
        <v>72.8</v>
      </c>
      <c r="U336" s="32">
        <v>20.728571428571399</v>
      </c>
      <c r="V336" s="32">
        <v>14.774857142857099</v>
      </c>
      <c r="W336" s="32">
        <v>14.218181818181799</v>
      </c>
      <c r="X336" s="32">
        <v>11.7615384615384</v>
      </c>
      <c r="Y336" s="32">
        <v>13.311111111111099</v>
      </c>
      <c r="Z336" s="32">
        <v>11.2222222222222</v>
      </c>
      <c r="AA336" s="32">
        <v>29.3928571428571</v>
      </c>
      <c r="AB336" s="33">
        <v>4.7028571428571399E-2</v>
      </c>
      <c r="AC336" s="32">
        <v>76</v>
      </c>
      <c r="AD336" s="32">
        <v>76.900000000000006</v>
      </c>
      <c r="AE336" s="31" t="s">
        <v>1117</v>
      </c>
    </row>
    <row r="337" spans="1:33" s="28" customFormat="1" x14ac:dyDescent="0.25">
      <c r="A337" s="61" t="s">
        <v>1118</v>
      </c>
      <c r="B337" s="28" t="s">
        <v>1119</v>
      </c>
      <c r="C337" s="28" t="s">
        <v>1087</v>
      </c>
      <c r="D337" s="28" t="s">
        <v>152</v>
      </c>
      <c r="E337" s="28" t="s">
        <v>1789</v>
      </c>
      <c r="F337" s="69" t="s">
        <v>1785</v>
      </c>
      <c r="G337" s="69"/>
      <c r="T337" s="29"/>
      <c r="U337" s="29"/>
      <c r="V337" s="29"/>
      <c r="W337" s="29"/>
      <c r="X337" s="29"/>
      <c r="Y337" s="29"/>
      <c r="Z337" s="29"/>
      <c r="AA337" s="29"/>
      <c r="AB337" s="30"/>
      <c r="AC337" s="29"/>
      <c r="AD337" s="29"/>
    </row>
    <row r="338" spans="1:33" s="28" customFormat="1" x14ac:dyDescent="0.25">
      <c r="A338" s="61" t="s">
        <v>1120</v>
      </c>
      <c r="B338" s="28" t="s">
        <v>1121</v>
      </c>
      <c r="C338" s="28" t="s">
        <v>1087</v>
      </c>
      <c r="D338" s="28" t="s">
        <v>152</v>
      </c>
      <c r="E338" s="28" t="s">
        <v>1789</v>
      </c>
      <c r="F338" s="69" t="s">
        <v>1786</v>
      </c>
      <c r="G338" s="69" t="s">
        <v>237</v>
      </c>
      <c r="H338" s="28" t="s">
        <v>237</v>
      </c>
      <c r="I338" s="28" t="s">
        <v>237</v>
      </c>
      <c r="J338" s="28" t="s">
        <v>1122</v>
      </c>
      <c r="P338" s="28" t="s">
        <v>114</v>
      </c>
      <c r="Q338" s="28" t="s">
        <v>237</v>
      </c>
      <c r="T338" s="29"/>
      <c r="U338" s="29"/>
      <c r="V338" s="29"/>
      <c r="W338" s="29"/>
      <c r="X338" s="29"/>
      <c r="Y338" s="29"/>
      <c r="Z338" s="29"/>
      <c r="AA338" s="29"/>
      <c r="AB338" s="30"/>
      <c r="AC338" s="29"/>
      <c r="AD338" s="29"/>
    </row>
    <row r="339" spans="1:33" s="28" customFormat="1" x14ac:dyDescent="0.25">
      <c r="A339" s="61" t="s">
        <v>1123</v>
      </c>
      <c r="B339" s="28" t="s">
        <v>1124</v>
      </c>
      <c r="D339" s="28" t="s">
        <v>152</v>
      </c>
      <c r="E339" s="28" t="s">
        <v>1789</v>
      </c>
      <c r="F339" s="69" t="s">
        <v>1125</v>
      </c>
      <c r="G339" s="69"/>
      <c r="T339" s="29"/>
      <c r="U339" s="29"/>
      <c r="V339" s="29"/>
      <c r="W339" s="29"/>
      <c r="X339" s="29"/>
      <c r="Y339" s="29"/>
      <c r="Z339" s="29"/>
      <c r="AA339" s="29"/>
      <c r="AB339" s="30"/>
      <c r="AC339" s="29"/>
      <c r="AD339" s="29"/>
    </row>
    <row r="340" spans="1:33" s="28" customFormat="1" x14ac:dyDescent="0.25">
      <c r="A340" s="61" t="s">
        <v>1126</v>
      </c>
      <c r="B340" s="28" t="s">
        <v>1127</v>
      </c>
      <c r="D340" s="28" t="s">
        <v>296</v>
      </c>
      <c r="E340" s="28" t="s">
        <v>1789</v>
      </c>
      <c r="F340" s="69" t="s">
        <v>1128</v>
      </c>
      <c r="G340" s="69"/>
      <c r="T340" s="29"/>
      <c r="U340" s="29"/>
      <c r="V340" s="29"/>
      <c r="W340" s="29"/>
      <c r="X340" s="29"/>
      <c r="Y340" s="29"/>
      <c r="Z340" s="29"/>
      <c r="AA340" s="29"/>
      <c r="AB340" s="30"/>
      <c r="AC340" s="29"/>
      <c r="AD340" s="29"/>
    </row>
    <row r="341" spans="1:33" s="28" customFormat="1" x14ac:dyDescent="0.25">
      <c r="A341" s="61" t="s">
        <v>1129</v>
      </c>
      <c r="B341" s="28" t="s">
        <v>1130</v>
      </c>
      <c r="D341" s="28" t="s">
        <v>296</v>
      </c>
      <c r="E341" s="28" t="s">
        <v>1789</v>
      </c>
      <c r="F341" s="69" t="s">
        <v>1131</v>
      </c>
      <c r="G341" s="69"/>
      <c r="T341" s="29"/>
      <c r="U341" s="29"/>
      <c r="V341" s="29"/>
      <c r="W341" s="29"/>
      <c r="X341" s="29"/>
      <c r="Y341" s="29"/>
      <c r="Z341" s="29"/>
      <c r="AA341" s="29"/>
      <c r="AB341" s="30"/>
      <c r="AC341" s="29"/>
      <c r="AD341" s="29"/>
    </row>
    <row r="342" spans="1:33" s="28" customFormat="1" x14ac:dyDescent="0.25">
      <c r="A342" s="61" t="s">
        <v>1132</v>
      </c>
      <c r="B342" s="28" t="s">
        <v>1133</v>
      </c>
      <c r="D342" s="28" t="s">
        <v>152</v>
      </c>
      <c r="E342" s="28" t="s">
        <v>1789</v>
      </c>
      <c r="F342" s="69" t="s">
        <v>1134</v>
      </c>
      <c r="G342" s="69"/>
      <c r="T342" s="29"/>
      <c r="U342" s="29"/>
      <c r="V342" s="29"/>
      <c r="W342" s="29"/>
      <c r="X342" s="29"/>
      <c r="Y342" s="29"/>
      <c r="Z342" s="29"/>
      <c r="AA342" s="29"/>
      <c r="AB342" s="30"/>
      <c r="AC342" s="29"/>
      <c r="AD342" s="29"/>
    </row>
    <row r="343" spans="1:33" s="28" customFormat="1" x14ac:dyDescent="0.25">
      <c r="A343" s="61" t="s">
        <v>1135</v>
      </c>
      <c r="B343" s="28" t="s">
        <v>1136</v>
      </c>
      <c r="D343" s="28" t="s">
        <v>152</v>
      </c>
      <c r="E343" s="28" t="s">
        <v>1789</v>
      </c>
      <c r="F343" s="69" t="s">
        <v>1137</v>
      </c>
      <c r="G343" s="69"/>
      <c r="T343" s="29"/>
      <c r="U343" s="29"/>
      <c r="V343" s="29"/>
      <c r="W343" s="29"/>
      <c r="X343" s="29"/>
      <c r="Y343" s="29"/>
      <c r="Z343" s="29"/>
      <c r="AA343" s="29"/>
      <c r="AB343" s="30"/>
      <c r="AC343" s="29"/>
      <c r="AD343" s="29"/>
    </row>
    <row r="344" spans="1:33" s="31" customFormat="1" x14ac:dyDescent="0.25">
      <c r="A344" s="36" t="s">
        <v>1138</v>
      </c>
      <c r="B344" s="31" t="s">
        <v>1139</v>
      </c>
      <c r="C344" s="31" t="s">
        <v>1140</v>
      </c>
      <c r="D344" s="31" t="s">
        <v>152</v>
      </c>
      <c r="E344" s="31" t="s">
        <v>1792</v>
      </c>
      <c r="F344" s="66" t="s">
        <v>237</v>
      </c>
      <c r="G344" s="66" t="s">
        <v>237</v>
      </c>
      <c r="H344" s="31" t="s">
        <v>237</v>
      </c>
      <c r="I344" s="31" t="s">
        <v>237</v>
      </c>
      <c r="J344" s="31" t="s">
        <v>1141</v>
      </c>
      <c r="P344" s="31" t="s">
        <v>114</v>
      </c>
      <c r="Q344" s="31" t="s">
        <v>237</v>
      </c>
      <c r="T344" s="32"/>
      <c r="U344" s="32"/>
      <c r="V344" s="32"/>
      <c r="W344" s="32"/>
      <c r="X344" s="32"/>
      <c r="Y344" s="32"/>
      <c r="Z344" s="32"/>
      <c r="AA344" s="32"/>
      <c r="AB344" s="41"/>
      <c r="AC344" s="32"/>
      <c r="AD344" s="32"/>
      <c r="AE344" s="31" t="s">
        <v>237</v>
      </c>
    </row>
    <row r="345" spans="1:33" s="28" customFormat="1" x14ac:dyDescent="0.25">
      <c r="A345" s="61" t="s">
        <v>1142</v>
      </c>
      <c r="B345" s="28" t="s">
        <v>1143</v>
      </c>
      <c r="C345" s="28" t="s">
        <v>1087</v>
      </c>
      <c r="D345" s="28" t="s">
        <v>152</v>
      </c>
      <c r="E345" s="28" t="s">
        <v>1789</v>
      </c>
      <c r="F345" s="69" t="s">
        <v>237</v>
      </c>
      <c r="G345" s="69" t="s">
        <v>237</v>
      </c>
      <c r="H345" s="28" t="s">
        <v>237</v>
      </c>
      <c r="I345" s="28" t="s">
        <v>237</v>
      </c>
      <c r="J345" s="28" t="s">
        <v>1144</v>
      </c>
      <c r="P345" s="28" t="s">
        <v>114</v>
      </c>
      <c r="Q345" s="28" t="s">
        <v>237</v>
      </c>
      <c r="T345" s="29"/>
      <c r="U345" s="29"/>
      <c r="V345" s="29"/>
      <c r="W345" s="29"/>
      <c r="X345" s="29"/>
      <c r="Y345" s="29"/>
      <c r="Z345" s="29"/>
      <c r="AA345" s="29"/>
      <c r="AB345" s="30"/>
      <c r="AC345" s="29"/>
      <c r="AD345" s="29"/>
    </row>
    <row r="346" spans="1:33" ht="16.5" x14ac:dyDescent="0.25">
      <c r="A346" s="31" t="s">
        <v>1815</v>
      </c>
      <c r="B346" s="31" t="s">
        <v>1816</v>
      </c>
      <c r="C346" s="80"/>
      <c r="D346" s="77" t="s">
        <v>638</v>
      </c>
      <c r="E346" s="77" t="s">
        <v>1791</v>
      </c>
      <c r="F346" s="81"/>
      <c r="G346" s="66"/>
      <c r="H346" s="31"/>
      <c r="I346" s="31"/>
      <c r="J346" s="31" t="s">
        <v>1816</v>
      </c>
      <c r="K346" s="31"/>
      <c r="L346" s="31"/>
      <c r="M346" s="31"/>
      <c r="N346" s="31" t="s">
        <v>31</v>
      </c>
      <c r="O346" s="31"/>
      <c r="P346" s="31"/>
      <c r="Q346" s="31"/>
      <c r="R346" s="31"/>
      <c r="S346" s="31"/>
      <c r="T346" s="32">
        <f>Milk_composition!B7</f>
        <v>17.899999999999999</v>
      </c>
      <c r="U346" s="32">
        <f>Milk_composition!C7</f>
        <v>25.843575418994416</v>
      </c>
      <c r="V346" s="32"/>
      <c r="W346" s="32">
        <f>Milk_composition!G7</f>
        <v>25.068268156424583</v>
      </c>
      <c r="X346" s="32"/>
      <c r="Y346" s="32">
        <f>Milk_composition!E7</f>
        <v>24.065537430167598</v>
      </c>
      <c r="Z346" s="32"/>
      <c r="AA346" s="79">
        <f>AB346*6.38*100</f>
        <v>29.832402234636874</v>
      </c>
      <c r="AB346" s="84">
        <f>Milk_composition!H7/100</f>
        <v>4.6759251151468451E-2</v>
      </c>
      <c r="AC346" s="32"/>
      <c r="AD346" s="32"/>
      <c r="AE346" s="31" t="str">
        <f>Milk_composition!I7</f>
        <v>Aguinaga, M. A., F. Gómez-Carballar, R. Nieto, and J. F. Aguilera. "Production and composition of Iberian sow's milk and use of milk nutrients by the suckling Iberian piglet." Animal 5, no. 9 (2011): 1390-1397. (assuming 97% from GE to DE, and 96% from DE to ME)</v>
      </c>
      <c r="AF346" s="31"/>
      <c r="AG346" s="31"/>
    </row>
  </sheetData>
  <autoFilter ref="A1:AG346" xr:uid="{761E5E5E-7038-4788-9278-A55707F381EE}"/>
  <phoneticPr fontId="16" type="noConversion"/>
  <hyperlinks>
    <hyperlink ref="AE9" r:id="rId1" xr:uid="{BF211EE2-5196-414A-9B16-30126A851BF0}"/>
    <hyperlink ref="AE11" r:id="rId2" xr:uid="{11C728EC-6621-4703-B489-919AD9454DD7}"/>
    <hyperlink ref="AE12" r:id="rId3" xr:uid="{B4A017BE-74C1-4A77-95DE-DD50DE527B0D}"/>
    <hyperlink ref="AE13" r:id="rId4" xr:uid="{2098BB71-9C03-4B05-A355-24E158EE4AD1}"/>
    <hyperlink ref="AE15" r:id="rId5" xr:uid="{E64E21ED-5512-4E75-9C8B-59F98C81B4E0}"/>
    <hyperlink ref="AE16" r:id="rId6" xr:uid="{3A67DB48-C136-48A5-8BA6-C5C2B33697B6}"/>
    <hyperlink ref="AE21" r:id="rId7" xr:uid="{D2152F2E-3B1E-4363-BFEF-21F3865F74F4}"/>
    <hyperlink ref="AE22" r:id="rId8" xr:uid="{A514DEBF-C6C4-4727-9680-6DA9A2FD56D6}"/>
    <hyperlink ref="AE19" r:id="rId9" xr:uid="{D8D99AEE-8DEF-485E-9C84-8766A303D059}"/>
    <hyperlink ref="AF111" r:id="rId10" xr:uid="{417323CD-6A51-484A-9059-D0EEB2FD8524}"/>
    <hyperlink ref="AF201" r:id="rId11" xr:uid="{4DCC861B-3EE3-40D1-88FA-3EB74F7ED472}"/>
    <hyperlink ref="AE77" r:id="rId12" xr:uid="{EC0E4995-B325-4010-A030-A52A9C6FD6CF}"/>
    <hyperlink ref="AE201" r:id="rId13" xr:uid="{207AF8FB-5BA4-4539-BF56-5CCB0B7F1AF9}"/>
    <hyperlink ref="AE219" r:id="rId14" xr:uid="{53C51E93-E9FC-4EB8-B53A-C5721FFAAA4F}"/>
    <hyperlink ref="AE218" r:id="rId15" xr:uid="{1292CC64-6D06-4F90-884F-5E45F3E96977}"/>
    <hyperlink ref="AE110" r:id="rId16" xr:uid="{60267A2C-BBC4-4015-8409-AF64DADD9418}"/>
    <hyperlink ref="AE111" r:id="rId17" xr:uid="{AA778322-C718-4BC7-96DB-E463B30CC4ED}"/>
    <hyperlink ref="AE112" r:id="rId18" xr:uid="{CA36E145-F1AB-4A96-92A2-99A184F08202}"/>
    <hyperlink ref="AE114" r:id="rId19" xr:uid="{C82D4407-6712-441F-AAA7-69F4EAF6BE0F}"/>
    <hyperlink ref="AE115" r:id="rId20" xr:uid="{160C687C-CD70-4867-94A6-7314C829FF6F}"/>
    <hyperlink ref="AE113" r:id="rId21" xr:uid="{CF4A8112-2369-444C-A4CD-69DE110019CA}"/>
    <hyperlink ref="AE116" r:id="rId22" xr:uid="{6ED0951D-B5ED-46D0-B418-6296D84E48D7}"/>
    <hyperlink ref="AE121" r:id="rId23" xr:uid="{C2A68656-0EB5-463A-AD7D-E061FE2AE1EE}"/>
    <hyperlink ref="AE123" r:id="rId24" xr:uid="{9252BFCF-8F08-4CDF-8262-0F56C48608A5}"/>
    <hyperlink ref="AE124" r:id="rId25" xr:uid="{9260E1F4-A2CB-4901-9D2D-062C7981DAD3}"/>
    <hyperlink ref="AE126" r:id="rId26" xr:uid="{7C6992B8-5FE7-4B9A-8F64-AEE01DA97D03}"/>
    <hyperlink ref="AE44" r:id="rId27" xr:uid="{6CF42163-584D-45D9-8A16-13A3AF43F449}"/>
    <hyperlink ref="AE202" r:id="rId28" xr:uid="{475AD946-A1FE-4102-9256-00CCAA6EC999}"/>
    <hyperlink ref="AE220" r:id="rId29" xr:uid="{A72B211C-3DF5-45A4-99EA-F419997739C0}"/>
    <hyperlink ref="AE262" r:id="rId30" xr:uid="{65EF4330-0E62-4BB8-BC85-58875CC4A66C}"/>
    <hyperlink ref="AE330" r:id="rId31" xr:uid="{8E20CCC2-1B6F-4691-BCF9-0C88A4D7E3EC}"/>
    <hyperlink ref="AE331" r:id="rId32" xr:uid="{CFF909CC-7D13-44F7-8D23-EF6301A18B8D}"/>
    <hyperlink ref="AE333" r:id="rId33" xr:uid="{106EE6E8-B690-4510-B91D-1C07993F4E76}"/>
    <hyperlink ref="AE221" r:id="rId34" xr:uid="{86C06E2B-754F-4FF5-8778-9182293A8159}"/>
    <hyperlink ref="AE313" r:id="rId35" xr:uid="{E18CC718-2F2D-4DD1-9B31-331E50BD5DBF}"/>
    <hyperlink ref="AE8" r:id="rId36" xr:uid="{1FD4ACD1-A7DE-4286-8F57-374B0C2F140E}"/>
    <hyperlink ref="AE296" r:id="rId37" xr:uid="{663B8E42-CF30-4EA2-B498-80C10E6844F6}"/>
    <hyperlink ref="AE297" r:id="rId38" xr:uid="{4AD5D434-65D0-474B-B3CD-E79EED65D450}"/>
    <hyperlink ref="AE23" r:id="rId39" xr:uid="{0553CA52-3973-4068-ABD7-B377FD3B8B0A}"/>
    <hyperlink ref="AE26" r:id="rId40" xr:uid="{C43D69E7-E289-4775-8BA2-79D03F0C1E6B}"/>
    <hyperlink ref="AE63" r:id="rId41" xr:uid="{E131728D-4D6B-4F56-A316-A3DA26A371DE}"/>
    <hyperlink ref="AE25" r:id="rId42" xr:uid="{512EDC84-C6B8-4909-A1B4-3F54236BD10A}"/>
    <hyperlink ref="AE42" r:id="rId43" xr:uid="{F39ECB5B-95AB-4463-8786-397D7660CDF1}"/>
    <hyperlink ref="AF127" r:id="rId44" xr:uid="{BBEF58F4-D54F-4608-9B30-A303C28279A8}"/>
    <hyperlink ref="AE7" r:id="rId45" xr:uid="{7A7F4DA2-9FF8-4B42-ABBF-5FE8756EDEBC}"/>
    <hyperlink ref="AE332" r:id="rId46" xr:uid="{9A3128EA-5BAB-46B8-9B29-C6D293AF6614}"/>
    <hyperlink ref="AE125" r:id="rId47" xr:uid="{DF42D13E-E4D5-45DF-AF38-0B79A29256EA}"/>
    <hyperlink ref="AE78" r:id="rId48" xr:uid="{2825A57F-218F-4D9A-B249-BA4655EDC96C}"/>
    <hyperlink ref="AE95" r:id="rId49" xr:uid="{1081D2E4-5EBB-43E1-878F-78B5E03F169F}"/>
    <hyperlink ref="AE266" r:id="rId50" xr:uid="{E8D8D0C8-A0AC-492C-915C-DA56364547EE}"/>
    <hyperlink ref="AE189" r:id="rId51" xr:uid="{BF473DAA-F5B1-4A8B-9816-1CB5591C2AF3}"/>
    <hyperlink ref="AE67" r:id="rId52" xr:uid="{9486F894-410C-4B3D-9CF9-9DB893CBAC3A}"/>
    <hyperlink ref="AE194" r:id="rId53" xr:uid="{5E0FAAC9-75BB-4DC9-BFA6-F8587CAA4C73}"/>
    <hyperlink ref="AE312" r:id="rId54" xr:uid="{13AB9A3A-1BE9-4DE8-B10F-671CFFF78320}"/>
    <hyperlink ref="AE51" r:id="rId55" display="https://www.feedipedia.org/node/22236" xr:uid="{808B49B5-3EB7-45DD-867F-BA903D3C8A02}"/>
    <hyperlink ref="AE133" r:id="rId56" xr:uid="{C2F44F21-1023-4A42-AE73-30486FE734A7}"/>
    <hyperlink ref="AE134" r:id="rId57" xr:uid="{CDD7076D-BB69-4B76-A4C0-699EE7E3337C}"/>
    <hyperlink ref="AE2" r:id="rId58" xr:uid="{7292C81A-1492-44C9-BCEB-7C57A8054646}"/>
    <hyperlink ref="AE4" r:id="rId59" xr:uid="{A3D6B703-11F1-4520-A0DF-C96DDE66AD3C}"/>
    <hyperlink ref="AE329" r:id="rId60" xr:uid="{F2A12970-70DA-4D21-A4A7-37479CE967DA}"/>
    <hyperlink ref="AE155" r:id="rId61" xr:uid="{B6AE6629-FD28-4699-ACC5-E41AB60F1653}"/>
  </hyperlinks>
  <pageMargins left="0.7" right="0.7" top="0.75" bottom="0.75" header="0.3" footer="0.3"/>
  <legacyDrawing r:id="rId6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1600E-077C-45B7-9039-0F6C4FBC009A}">
  <dimension ref="A1:B8"/>
  <sheetViews>
    <sheetView showGridLines="0" workbookViewId="0">
      <selection activeCell="B6" sqref="B6"/>
    </sheetView>
  </sheetViews>
  <sheetFormatPr defaultRowHeight="15" x14ac:dyDescent="0.25"/>
  <cols>
    <col min="1" max="1" width="16.85546875" bestFit="1" customWidth="1"/>
    <col min="2" max="2" width="22.42578125" bestFit="1" customWidth="1"/>
  </cols>
  <sheetData>
    <row r="1" spans="1:2" x14ac:dyDescent="0.25">
      <c r="A1" s="73" t="s">
        <v>1800</v>
      </c>
      <c r="B1" s="73" t="s">
        <v>1796</v>
      </c>
    </row>
    <row r="2" spans="1:2" x14ac:dyDescent="0.25">
      <c r="A2" s="74">
        <v>45600</v>
      </c>
      <c r="B2" t="s">
        <v>1797</v>
      </c>
    </row>
    <row r="3" spans="1:2" x14ac:dyDescent="0.25">
      <c r="A3" s="74">
        <v>45600</v>
      </c>
      <c r="B3" t="s">
        <v>1798</v>
      </c>
    </row>
    <row r="4" spans="1:2" x14ac:dyDescent="0.25">
      <c r="A4" s="74">
        <v>45600</v>
      </c>
      <c r="B4" t="s">
        <v>1799</v>
      </c>
    </row>
    <row r="5" spans="1:2" x14ac:dyDescent="0.25">
      <c r="A5" s="74">
        <v>45661</v>
      </c>
      <c r="B5" t="s">
        <v>1817</v>
      </c>
    </row>
    <row r="6" spans="1:2" x14ac:dyDescent="0.25">
      <c r="A6" s="74"/>
    </row>
    <row r="7" spans="1:2" x14ac:dyDescent="0.25">
      <c r="A7" s="74"/>
    </row>
    <row r="8" spans="1:2" x14ac:dyDescent="0.25">
      <c r="A8" s="7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8ACBA-FC1C-45CE-B6F0-CF998F9DDE40}">
  <dimension ref="A1:I23"/>
  <sheetViews>
    <sheetView workbookViewId="0">
      <selection activeCell="I19" sqref="I19"/>
    </sheetView>
  </sheetViews>
  <sheetFormatPr defaultColWidth="12.28515625" defaultRowHeight="15.75" x14ac:dyDescent="0.25"/>
  <cols>
    <col min="1" max="3" width="12.28515625" style="24"/>
    <col min="4" max="4" width="14" style="24" bestFit="1" customWidth="1"/>
    <col min="5" max="7" width="12.28515625" style="24"/>
    <col min="8" max="8" width="22" style="24" bestFit="1" customWidth="1"/>
    <col min="9" max="16384" width="12.28515625" style="24"/>
  </cols>
  <sheetData>
    <row r="1" spans="1:9" x14ac:dyDescent="0.25">
      <c r="A1" s="24" t="s">
        <v>10</v>
      </c>
      <c r="B1" s="24" t="s">
        <v>1814</v>
      </c>
      <c r="C1" s="24" t="s">
        <v>1813</v>
      </c>
      <c r="D1" s="24" t="s">
        <v>1812</v>
      </c>
      <c r="E1" s="24" t="s">
        <v>1811</v>
      </c>
      <c r="F1" s="24" t="s">
        <v>1810</v>
      </c>
      <c r="G1" s="24" t="s">
        <v>1809</v>
      </c>
      <c r="H1" s="24" t="s">
        <v>1818</v>
      </c>
      <c r="I1" s="24" t="s">
        <v>1808</v>
      </c>
    </row>
    <row r="2" spans="1:9" x14ac:dyDescent="0.25">
      <c r="A2" s="24" t="s">
        <v>5</v>
      </c>
      <c r="B2" s="24">
        <f>100-87.8</f>
        <v>12.200000000000003</v>
      </c>
      <c r="C2" s="24">
        <f>(64*0.004184)/B2*1000</f>
        <v>21.94885245901639</v>
      </c>
      <c r="D2" s="24">
        <f>F2*96%</f>
        <v>20.438771409836061</v>
      </c>
      <c r="F2" s="24">
        <f>C2*97%</f>
        <v>21.290386885245898</v>
      </c>
      <c r="H2" s="24">
        <f>(3.2/B2%)/6.38</f>
        <v>4.1112081813042805</v>
      </c>
      <c r="I2" s="24" t="s">
        <v>1804</v>
      </c>
    </row>
    <row r="3" spans="1:9" x14ac:dyDescent="0.25">
      <c r="A3" s="24" t="s">
        <v>1807</v>
      </c>
      <c r="B3" s="24">
        <f>100-82.4</f>
        <v>17.599999999999994</v>
      </c>
      <c r="C3" s="24">
        <f>(102.3*0.004184)/B3*1000</f>
        <v>24.319500000000009</v>
      </c>
      <c r="D3" s="24">
        <f>F3*96%</f>
        <v>22.646318400000006</v>
      </c>
      <c r="F3" s="24">
        <f>C3*97%</f>
        <v>23.589915000000008</v>
      </c>
      <c r="H3" s="24">
        <f>(5/B3%)/6.38</f>
        <v>4.4528355656882326</v>
      </c>
      <c r="I3" s="24" t="s">
        <v>1804</v>
      </c>
    </row>
    <row r="4" spans="1:9" x14ac:dyDescent="0.25">
      <c r="A4" s="24" t="s">
        <v>6</v>
      </c>
      <c r="B4" s="24">
        <f>100-81.6</f>
        <v>18.400000000000006</v>
      </c>
      <c r="C4" s="24">
        <f>(89.8*0.004184)/B4*1000</f>
        <v>20.419739130434778</v>
      </c>
      <c r="D4" s="24">
        <f>F4*96%</f>
        <v>19.014861078260864</v>
      </c>
      <c r="F4" s="24">
        <f>C4*97%</f>
        <v>19.807146956521734</v>
      </c>
      <c r="H4" s="24">
        <f>(5.7/B4%)/6.38</f>
        <v>4.855526782063512</v>
      </c>
      <c r="I4" s="24" t="s">
        <v>1804</v>
      </c>
    </row>
    <row r="5" spans="1:9" x14ac:dyDescent="0.25">
      <c r="A5" s="24" t="s">
        <v>1806</v>
      </c>
      <c r="B5" s="24">
        <f>100-87.8</f>
        <v>12.200000000000003</v>
      </c>
      <c r="C5" s="24">
        <f>(64*0.004184)/B5*1000</f>
        <v>21.94885245901639</v>
      </c>
      <c r="D5" s="24">
        <f>F5*96%</f>
        <v>20.438771409836061</v>
      </c>
      <c r="F5" s="24">
        <f>C5*97%</f>
        <v>21.290386885245898</v>
      </c>
      <c r="H5" s="24">
        <f>(3.2/B5%)/6.38</f>
        <v>4.1112081813042805</v>
      </c>
      <c r="I5" s="24" t="s">
        <v>1804</v>
      </c>
    </row>
    <row r="6" spans="1:9" x14ac:dyDescent="0.25">
      <c r="A6" s="24" t="s">
        <v>1805</v>
      </c>
      <c r="B6" s="24">
        <f>100-88.44</f>
        <v>11.560000000000002</v>
      </c>
      <c r="C6" s="24">
        <f>(61.4*0.004184)/B6*1000</f>
        <v>22.222975778546708</v>
      </c>
      <c r="D6" s="24">
        <f>F6*96%</f>
        <v>20.694035044982694</v>
      </c>
      <c r="F6" s="24">
        <f>C6*97%</f>
        <v>21.556286505190307</v>
      </c>
      <c r="H6" s="24">
        <f>(2.95/B6%)/6.38</f>
        <v>3.9998481413587008</v>
      </c>
      <c r="I6" s="24" t="s">
        <v>1804</v>
      </c>
    </row>
    <row r="7" spans="1:9" x14ac:dyDescent="0.25">
      <c r="A7" s="24" t="s">
        <v>1803</v>
      </c>
      <c r="B7" s="24">
        <v>17.899999999999999</v>
      </c>
      <c r="C7" s="24">
        <f>4.626/B7%</f>
        <v>25.843575418994416</v>
      </c>
      <c r="E7" s="24">
        <f>G7*96%</f>
        <v>24.065537430167598</v>
      </c>
      <c r="G7" s="24">
        <f>C7*97%</f>
        <v>25.068268156424583</v>
      </c>
      <c r="H7" s="24">
        <f>(5.34/B7%)/6.38</f>
        <v>4.6759251151468453</v>
      </c>
      <c r="I7" s="24" t="s">
        <v>1802</v>
      </c>
    </row>
    <row r="8" spans="1:9" x14ac:dyDescent="0.25">
      <c r="I8" s="4" t="s">
        <v>1819</v>
      </c>
    </row>
    <row r="23" spans="3:3" ht="20.25" x14ac:dyDescent="0.3">
      <c r="C23" s="75"/>
    </row>
  </sheetData>
  <hyperlinks>
    <hyperlink ref="I8" r:id="rId1" tooltip="https://www.ncbi.nlm.nih.gov/books/nbk600598/" display="https://www.ncbi.nlm.nih.gov/books/NBK600598/" xr:uid="{E9FC6EF3-C26D-4C04-B432-1F6CE7258FAD}"/>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1DF84-3446-BD4F-BCD7-F728BEB03A15}">
  <dimension ref="A1:L8"/>
  <sheetViews>
    <sheetView workbookViewId="0">
      <selection activeCell="A26" sqref="A26"/>
    </sheetView>
  </sheetViews>
  <sheetFormatPr defaultColWidth="11.42578125" defaultRowHeight="15" x14ac:dyDescent="0.25"/>
  <cols>
    <col min="1" max="1" width="45.28515625" customWidth="1"/>
    <col min="7" max="7" width="13.28515625" customWidth="1"/>
    <col min="9" max="9" width="14" customWidth="1"/>
  </cols>
  <sheetData>
    <row r="1" spans="1:12" ht="18.75" x14ac:dyDescent="0.25">
      <c r="A1" s="2" t="s">
        <v>1145</v>
      </c>
      <c r="B1" s="2"/>
    </row>
    <row r="2" spans="1:12" ht="18.75" x14ac:dyDescent="0.25">
      <c r="A2" s="2"/>
      <c r="B2" s="2"/>
      <c r="D2" s="82" t="s">
        <v>1146</v>
      </c>
      <c r="E2" s="82"/>
      <c r="F2" s="82"/>
      <c r="G2" s="82" t="s">
        <v>1147</v>
      </c>
      <c r="H2" s="82"/>
      <c r="I2" s="82"/>
      <c r="J2" s="82"/>
      <c r="K2" s="8"/>
    </row>
    <row r="3" spans="1:12" x14ac:dyDescent="0.25">
      <c r="A3" s="3" t="s">
        <v>1148</v>
      </c>
      <c r="B3" s="3" t="s">
        <v>1149</v>
      </c>
      <c r="C3" s="3" t="s">
        <v>1150</v>
      </c>
      <c r="D3" s="3" t="s">
        <v>1151</v>
      </c>
      <c r="E3" s="3" t="s">
        <v>1152</v>
      </c>
      <c r="F3" s="3" t="s">
        <v>1153</v>
      </c>
      <c r="G3" s="3" t="s">
        <v>1154</v>
      </c>
      <c r="H3" s="3" t="s">
        <v>1155</v>
      </c>
      <c r="I3" s="3" t="s">
        <v>1156</v>
      </c>
      <c r="J3" s="3" t="s">
        <v>1157</v>
      </c>
      <c r="K3" s="3" t="s">
        <v>1158</v>
      </c>
      <c r="L3" s="3" t="s">
        <v>1159</v>
      </c>
    </row>
    <row r="4" spans="1:12" x14ac:dyDescent="0.25">
      <c r="A4" t="s">
        <v>1160</v>
      </c>
      <c r="B4">
        <v>89</v>
      </c>
      <c r="C4">
        <v>19.399999999999999</v>
      </c>
      <c r="D4">
        <v>11.8</v>
      </c>
      <c r="E4">
        <v>9.1</v>
      </c>
      <c r="F4">
        <v>84.5</v>
      </c>
      <c r="G4">
        <v>10.3</v>
      </c>
      <c r="H4">
        <v>9.4</v>
      </c>
      <c r="I4">
        <v>8.6</v>
      </c>
      <c r="J4">
        <v>78.400000000000006</v>
      </c>
      <c r="K4">
        <v>32.4</v>
      </c>
      <c r="L4" s="4" t="s">
        <v>1161</v>
      </c>
    </row>
    <row r="5" spans="1:12" x14ac:dyDescent="0.25">
      <c r="A5" t="s">
        <v>1162</v>
      </c>
      <c r="B5">
        <v>89.8</v>
      </c>
      <c r="C5">
        <v>19.3</v>
      </c>
      <c r="D5">
        <v>12.7</v>
      </c>
      <c r="E5">
        <v>9.6</v>
      </c>
      <c r="F5">
        <v>87.7</v>
      </c>
      <c r="G5">
        <v>11.6</v>
      </c>
      <c r="H5">
        <v>10.6</v>
      </c>
      <c r="I5">
        <v>8.8000000000000007</v>
      </c>
      <c r="J5">
        <v>81.2</v>
      </c>
      <c r="K5">
        <v>37.700000000000003</v>
      </c>
      <c r="L5" s="4" t="s">
        <v>1163</v>
      </c>
    </row>
    <row r="6" spans="1:12" x14ac:dyDescent="0.25">
      <c r="A6" t="s">
        <v>1164</v>
      </c>
      <c r="B6">
        <v>88.9</v>
      </c>
      <c r="C6">
        <v>19.399999999999999</v>
      </c>
      <c r="D6">
        <v>11.7</v>
      </c>
      <c r="E6">
        <v>8.9</v>
      </c>
      <c r="F6">
        <v>51.9</v>
      </c>
      <c r="G6">
        <v>10.1</v>
      </c>
      <c r="H6">
        <v>9.1999999999999993</v>
      </c>
      <c r="I6">
        <v>6.2</v>
      </c>
      <c r="J6">
        <v>73.3</v>
      </c>
      <c r="K6">
        <v>31.3</v>
      </c>
      <c r="L6" s="4" t="s">
        <v>1165</v>
      </c>
    </row>
    <row r="7" spans="1:12" x14ac:dyDescent="0.25">
      <c r="A7" t="s">
        <v>1166</v>
      </c>
      <c r="B7">
        <v>91.8</v>
      </c>
      <c r="C7">
        <v>21.8</v>
      </c>
      <c r="D7">
        <v>14</v>
      </c>
      <c r="E7">
        <v>10.9</v>
      </c>
      <c r="F7">
        <v>75</v>
      </c>
      <c r="G7">
        <v>12.1</v>
      </c>
      <c r="H7">
        <v>11.1</v>
      </c>
      <c r="I7">
        <v>10.8</v>
      </c>
      <c r="J7">
        <v>78</v>
      </c>
      <c r="K7">
        <v>27.9</v>
      </c>
      <c r="L7" s="4" t="s">
        <v>1167</v>
      </c>
    </row>
    <row r="8" spans="1:12" x14ac:dyDescent="0.25">
      <c r="A8" s="5" t="s">
        <v>1168</v>
      </c>
      <c r="B8" s="5">
        <f>AVERAGE(B4,B5,B6,B7)</f>
        <v>89.875000000000014</v>
      </c>
      <c r="C8" s="6">
        <f>AVERAGE(C4,C5,C6,C7)</f>
        <v>19.975000000000001</v>
      </c>
      <c r="D8" s="6">
        <f>AVERAGE(D4,D5,D6,D7)</f>
        <v>12.55</v>
      </c>
      <c r="E8" s="6">
        <f>AVERAGE(E5,E4,E6,E7)</f>
        <v>9.625</v>
      </c>
      <c r="F8" s="6">
        <f>AVERAGE(F4,F5,F6,F7)</f>
        <v>74.775000000000006</v>
      </c>
      <c r="G8" s="15">
        <f>AVERAGE(G4,G5,G6,G7)</f>
        <v>11.025</v>
      </c>
      <c r="H8" s="6">
        <f>AVERAGE(H5,H4,H6,H7)</f>
        <v>10.074999999999999</v>
      </c>
      <c r="I8" s="6">
        <f>AVERAGE(I4,I5,I6,I7)</f>
        <v>8.6</v>
      </c>
      <c r="J8" s="6">
        <f>AVERAGE(J4,J5,J6,J7)</f>
        <v>77.725000000000009</v>
      </c>
      <c r="K8" s="6">
        <f>AVERAGE(K4,K5,K6,K7)</f>
        <v>32.324999999999996</v>
      </c>
    </row>
  </sheetData>
  <mergeCells count="2">
    <mergeCell ref="D2:F2"/>
    <mergeCell ref="G2:J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0C6AB-19B3-CD43-9495-1111BA4F4BE9}">
  <dimension ref="A1:K13"/>
  <sheetViews>
    <sheetView workbookViewId="0">
      <selection activeCell="B41" sqref="B41"/>
    </sheetView>
  </sheetViews>
  <sheetFormatPr defaultColWidth="11.42578125" defaultRowHeight="15" x14ac:dyDescent="0.25"/>
  <cols>
    <col min="1" max="2" width="32.28515625" customWidth="1"/>
  </cols>
  <sheetData>
    <row r="1" spans="1:11" ht="18.75" x14ac:dyDescent="0.25">
      <c r="A1" s="2" t="s">
        <v>1169</v>
      </c>
      <c r="B1" s="2"/>
    </row>
    <row r="2" spans="1:11" ht="18.75" x14ac:dyDescent="0.25">
      <c r="A2" s="2"/>
      <c r="B2" s="2"/>
      <c r="D2" s="82" t="s">
        <v>1146</v>
      </c>
      <c r="E2" s="82"/>
      <c r="F2" s="8"/>
      <c r="G2" s="82" t="s">
        <v>1147</v>
      </c>
      <c r="H2" s="82"/>
      <c r="I2" s="82"/>
      <c r="J2" s="8"/>
    </row>
    <row r="3" spans="1:11" x14ac:dyDescent="0.25">
      <c r="A3" s="3" t="s">
        <v>1148</v>
      </c>
      <c r="B3" s="3" t="s">
        <v>1149</v>
      </c>
      <c r="C3" s="3" t="s">
        <v>1150</v>
      </c>
      <c r="D3" s="3" t="s">
        <v>1151</v>
      </c>
      <c r="E3" s="3" t="s">
        <v>1152</v>
      </c>
      <c r="F3" s="3" t="s">
        <v>1170</v>
      </c>
      <c r="G3" s="3" t="s">
        <v>1151</v>
      </c>
      <c r="H3" s="3" t="s">
        <v>1155</v>
      </c>
      <c r="I3" s="3" t="s">
        <v>1156</v>
      </c>
      <c r="J3" s="3" t="s">
        <v>1158</v>
      </c>
    </row>
    <row r="4" spans="1:11" x14ac:dyDescent="0.25">
      <c r="A4" t="s">
        <v>1171</v>
      </c>
      <c r="B4">
        <v>7.6</v>
      </c>
      <c r="C4">
        <v>17.8</v>
      </c>
      <c r="E4">
        <v>13.6</v>
      </c>
      <c r="F4">
        <v>90</v>
      </c>
      <c r="G4">
        <v>12.4</v>
      </c>
      <c r="J4">
        <v>14.5</v>
      </c>
      <c r="K4" s="4" t="s">
        <v>1172</v>
      </c>
    </row>
    <row r="5" spans="1:11" ht="16.5" x14ac:dyDescent="0.25">
      <c r="A5" t="s">
        <v>1173</v>
      </c>
      <c r="B5">
        <v>90.3</v>
      </c>
      <c r="C5">
        <v>18.8</v>
      </c>
      <c r="F5" s="14">
        <v>58.5</v>
      </c>
      <c r="J5">
        <v>9.4</v>
      </c>
      <c r="K5" s="4" t="s">
        <v>1174</v>
      </c>
    </row>
    <row r="6" spans="1:11" x14ac:dyDescent="0.25">
      <c r="A6" t="s">
        <v>1175</v>
      </c>
      <c r="B6">
        <v>14</v>
      </c>
      <c r="J6">
        <v>19.8</v>
      </c>
      <c r="K6" t="s">
        <v>1176</v>
      </c>
    </row>
    <row r="7" spans="1:11" x14ac:dyDescent="0.25">
      <c r="A7" t="s">
        <v>1177</v>
      </c>
      <c r="B7">
        <v>89.8</v>
      </c>
      <c r="C7">
        <v>22.1</v>
      </c>
      <c r="E7">
        <v>4.2</v>
      </c>
      <c r="F7">
        <v>38</v>
      </c>
      <c r="J7">
        <v>19</v>
      </c>
      <c r="K7" t="s">
        <v>1178</v>
      </c>
    </row>
    <row r="8" spans="1:11" x14ac:dyDescent="0.25">
      <c r="A8" t="s">
        <v>1179</v>
      </c>
      <c r="B8">
        <v>92.2</v>
      </c>
      <c r="C8">
        <v>21</v>
      </c>
      <c r="E8">
        <v>10.5</v>
      </c>
      <c r="F8">
        <v>81</v>
      </c>
      <c r="G8">
        <v>7.7</v>
      </c>
      <c r="J8">
        <v>59.6</v>
      </c>
      <c r="K8" t="s">
        <v>1180</v>
      </c>
    </row>
    <row r="9" spans="1:11" x14ac:dyDescent="0.25">
      <c r="A9" t="s">
        <v>1181</v>
      </c>
      <c r="B9">
        <v>88</v>
      </c>
      <c r="C9">
        <v>22.6</v>
      </c>
      <c r="G9">
        <v>18.399999999999999</v>
      </c>
      <c r="J9">
        <v>63.2</v>
      </c>
      <c r="K9" t="s">
        <v>1182</v>
      </c>
    </row>
    <row r="10" spans="1:11" x14ac:dyDescent="0.25">
      <c r="A10" t="s">
        <v>1183</v>
      </c>
      <c r="B10">
        <v>90</v>
      </c>
      <c r="C10">
        <v>27.8</v>
      </c>
      <c r="J10">
        <v>31.6</v>
      </c>
      <c r="K10" t="s">
        <v>1184</v>
      </c>
    </row>
    <row r="11" spans="1:11" x14ac:dyDescent="0.25">
      <c r="A11" t="s">
        <v>1185</v>
      </c>
      <c r="B11">
        <v>92.6</v>
      </c>
      <c r="C11">
        <v>29.8</v>
      </c>
      <c r="E11">
        <v>19.3</v>
      </c>
      <c r="F11">
        <v>84</v>
      </c>
      <c r="J11">
        <v>35.700000000000003</v>
      </c>
      <c r="K11" t="s">
        <v>1186</v>
      </c>
    </row>
    <row r="13" spans="1:11" x14ac:dyDescent="0.25">
      <c r="A13" s="5" t="s">
        <v>1168</v>
      </c>
      <c r="B13" s="5">
        <f>AVERAGE(B4,B5,B6,B7,B8,B9,B10,B11)</f>
        <v>70.5625</v>
      </c>
      <c r="C13" s="6">
        <f>AVERAGE(C4,C5,C7,C8,C9,C10,C11)</f>
        <v>22.842857142857149</v>
      </c>
      <c r="D13" s="6"/>
      <c r="E13" s="6">
        <f>AVERAGE(E4,E7,E8,E11)</f>
        <v>11.9</v>
      </c>
      <c r="F13" s="6">
        <f>AVERAGE(F4,F5,F7,F8,F11)</f>
        <v>70.3</v>
      </c>
      <c r="G13" s="6">
        <f>AVERAGE(G4,G8,G9)</f>
        <v>12.833333333333334</v>
      </c>
      <c r="H13" s="6"/>
      <c r="I13" s="6"/>
      <c r="J13" s="6">
        <f>AVERAGE(J4,J5,J6,J7,J8,J9,J10)</f>
        <v>31.014285714285712</v>
      </c>
    </row>
  </sheetData>
  <mergeCells count="2">
    <mergeCell ref="D2:E2"/>
    <mergeCell ref="G2:I2"/>
  </mergeCells>
  <hyperlinks>
    <hyperlink ref="K4" r:id="rId1" xr:uid="{DF3E597F-6382-0D4E-800F-FA8DA6E3F2B2}"/>
    <hyperlink ref="K5" r:id="rId2" xr:uid="{87DDCA06-9423-F246-A119-16722D5E1D8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7FEAF-9697-2F45-8383-F66B4D954D70}">
  <dimension ref="A1:K13"/>
  <sheetViews>
    <sheetView workbookViewId="0">
      <selection activeCell="B1" sqref="B1"/>
    </sheetView>
  </sheetViews>
  <sheetFormatPr defaultColWidth="11.42578125" defaultRowHeight="15" x14ac:dyDescent="0.25"/>
  <cols>
    <col min="1" max="1" width="36.140625" customWidth="1"/>
  </cols>
  <sheetData>
    <row r="1" spans="1:11" ht="18.75" x14ac:dyDescent="0.25">
      <c r="A1" s="2" t="s">
        <v>1187</v>
      </c>
      <c r="B1" s="2"/>
    </row>
    <row r="2" spans="1:11" ht="18.75" x14ac:dyDescent="0.25">
      <c r="A2" s="2"/>
      <c r="B2" s="2"/>
      <c r="D2" s="82" t="s">
        <v>1146</v>
      </c>
      <c r="E2" s="82"/>
      <c r="F2" s="8"/>
      <c r="G2" s="82" t="s">
        <v>1147</v>
      </c>
      <c r="H2" s="82"/>
      <c r="I2" s="82"/>
      <c r="J2" s="8"/>
    </row>
    <row r="3" spans="1:11" x14ac:dyDescent="0.25">
      <c r="A3" s="3" t="s">
        <v>1148</v>
      </c>
      <c r="B3" s="3" t="s">
        <v>1149</v>
      </c>
      <c r="C3" s="3" t="s">
        <v>1150</v>
      </c>
      <c r="D3" s="3" t="s">
        <v>1151</v>
      </c>
      <c r="E3" s="3" t="s">
        <v>1152</v>
      </c>
      <c r="F3" s="3" t="s">
        <v>1170</v>
      </c>
      <c r="G3" s="3" t="s">
        <v>1151</v>
      </c>
      <c r="H3" s="3" t="s">
        <v>1155</v>
      </c>
      <c r="I3" s="3" t="s">
        <v>1156</v>
      </c>
      <c r="J3" s="3" t="s">
        <v>1158</v>
      </c>
    </row>
    <row r="4" spans="1:11" x14ac:dyDescent="0.25">
      <c r="A4" t="s">
        <v>1188</v>
      </c>
      <c r="B4">
        <v>87.5</v>
      </c>
      <c r="C4">
        <v>20.3</v>
      </c>
      <c r="G4">
        <v>6.5</v>
      </c>
      <c r="J4">
        <v>14.6</v>
      </c>
      <c r="K4" s="4" t="s">
        <v>1189</v>
      </c>
    </row>
    <row r="5" spans="1:11" ht="16.5" x14ac:dyDescent="0.25">
      <c r="A5" t="s">
        <v>1190</v>
      </c>
      <c r="B5">
        <v>11.3</v>
      </c>
      <c r="C5">
        <v>16.8</v>
      </c>
      <c r="F5" s="14"/>
      <c r="G5">
        <v>12.6</v>
      </c>
      <c r="J5">
        <v>15.8</v>
      </c>
      <c r="K5" s="4" t="s">
        <v>1191</v>
      </c>
    </row>
    <row r="6" spans="1:11" x14ac:dyDescent="0.25">
      <c r="A6" t="s">
        <v>1192</v>
      </c>
      <c r="B6">
        <v>18.5</v>
      </c>
      <c r="C6">
        <v>17.7</v>
      </c>
      <c r="J6">
        <v>23.8</v>
      </c>
      <c r="K6" t="s">
        <v>1193</v>
      </c>
    </row>
    <row r="7" spans="1:11" x14ac:dyDescent="0.25">
      <c r="A7" t="s">
        <v>1194</v>
      </c>
      <c r="C7">
        <v>19.600000000000001</v>
      </c>
      <c r="G7">
        <v>11.6</v>
      </c>
      <c r="J7">
        <v>22.3</v>
      </c>
      <c r="K7" t="s">
        <v>1195</v>
      </c>
    </row>
    <row r="8" spans="1:11" x14ac:dyDescent="0.25">
      <c r="A8" t="s">
        <v>1196</v>
      </c>
      <c r="B8">
        <v>93.5</v>
      </c>
      <c r="C8">
        <v>22.7</v>
      </c>
      <c r="G8">
        <v>11.9</v>
      </c>
      <c r="J8">
        <v>21.3</v>
      </c>
      <c r="K8" t="s">
        <v>1197</v>
      </c>
    </row>
    <row r="13" spans="1:11" x14ac:dyDescent="0.25">
      <c r="A13" s="5" t="s">
        <v>1168</v>
      </c>
      <c r="B13" s="5">
        <f>AVERAGE(B4,B5,B6,B7,B8,B9,B10,B11)</f>
        <v>52.7</v>
      </c>
      <c r="C13" s="6">
        <f>AVERAGE(C4,C5,C6,C7,C8)</f>
        <v>19.420000000000002</v>
      </c>
      <c r="D13" s="6"/>
      <c r="E13" s="6" t="e">
        <f>AVERAGE(E4,E7,E8,E11)</f>
        <v>#DIV/0!</v>
      </c>
      <c r="F13" s="6" t="e">
        <f>AVERAGE(F4,F5,F7,F8,F11)</f>
        <v>#DIV/0!</v>
      </c>
      <c r="G13" s="6">
        <f>AVERAGE(G4,G5,G7,G8)</f>
        <v>10.65</v>
      </c>
      <c r="H13" s="6"/>
      <c r="I13" s="6"/>
      <c r="J13" s="6">
        <f>AVERAGE(J4,J5,J6,J7,J8)</f>
        <v>19.559999999999999</v>
      </c>
    </row>
  </sheetData>
  <mergeCells count="2">
    <mergeCell ref="D2:E2"/>
    <mergeCell ref="G2:I2"/>
  </mergeCells>
  <hyperlinks>
    <hyperlink ref="K4" r:id="rId1" xr:uid="{BB84E6E7-CE7C-9042-B1E0-585B466DD989}"/>
    <hyperlink ref="K5" r:id="rId2" xr:uid="{2676BDD5-0F6F-1245-BE89-EF2D43E49A76}"/>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9"/>
  <sheetViews>
    <sheetView workbookViewId="0">
      <selection activeCell="K5" sqref="K5"/>
    </sheetView>
  </sheetViews>
  <sheetFormatPr defaultColWidth="9.140625" defaultRowHeight="15" x14ac:dyDescent="0.25"/>
  <cols>
    <col min="1" max="1" width="28.140625" bestFit="1" customWidth="1"/>
    <col min="2" max="2" width="28.140625" customWidth="1"/>
    <col min="8" max="8" width="12.7109375" bestFit="1" customWidth="1"/>
    <col min="9" max="9" width="16.7109375" bestFit="1" customWidth="1"/>
    <col min="10" max="10" width="16.7109375" customWidth="1"/>
  </cols>
  <sheetData>
    <row r="1" spans="1:11" ht="18.75" x14ac:dyDescent="0.25">
      <c r="A1" s="2" t="s">
        <v>1198</v>
      </c>
      <c r="B1" s="2"/>
    </row>
    <row r="2" spans="1:11" ht="14.25" customHeight="1" x14ac:dyDescent="0.25">
      <c r="A2" s="2"/>
      <c r="B2" s="2"/>
      <c r="D2" s="82" t="s">
        <v>1146</v>
      </c>
      <c r="E2" s="82"/>
      <c r="F2" s="8"/>
      <c r="G2" s="82" t="s">
        <v>1147</v>
      </c>
      <c r="H2" s="82"/>
      <c r="I2" s="82"/>
      <c r="J2" s="8"/>
    </row>
    <row r="3" spans="1:11" x14ac:dyDescent="0.25">
      <c r="A3" s="3" t="s">
        <v>1148</v>
      </c>
      <c r="B3" s="3"/>
      <c r="C3" s="3" t="s">
        <v>1150</v>
      </c>
      <c r="D3" s="3" t="s">
        <v>1151</v>
      </c>
      <c r="E3" s="3" t="s">
        <v>1152</v>
      </c>
      <c r="F3" s="3"/>
      <c r="G3" s="3" t="s">
        <v>1151</v>
      </c>
      <c r="H3" s="3" t="s">
        <v>1155</v>
      </c>
      <c r="I3" s="3" t="s">
        <v>1156</v>
      </c>
      <c r="J3" s="3" t="s">
        <v>1158</v>
      </c>
      <c r="K3" s="3" t="s">
        <v>1159</v>
      </c>
    </row>
    <row r="4" spans="1:11" x14ac:dyDescent="0.25">
      <c r="A4" t="s">
        <v>1199</v>
      </c>
      <c r="B4">
        <v>23.5</v>
      </c>
      <c r="C4">
        <v>18.899999999999999</v>
      </c>
      <c r="D4">
        <v>12.8</v>
      </c>
      <c r="E4">
        <v>10.5</v>
      </c>
      <c r="F4">
        <v>54.9</v>
      </c>
      <c r="J4">
        <v>8</v>
      </c>
      <c r="K4" s="4" t="s">
        <v>1200</v>
      </c>
    </row>
    <row r="5" spans="1:11" x14ac:dyDescent="0.25">
      <c r="A5" t="s">
        <v>1201</v>
      </c>
      <c r="B5">
        <v>28.2</v>
      </c>
      <c r="C5">
        <v>19</v>
      </c>
      <c r="D5">
        <v>13.1</v>
      </c>
      <c r="E5">
        <v>10.8</v>
      </c>
      <c r="F5">
        <v>66.2</v>
      </c>
      <c r="J5">
        <v>7.2</v>
      </c>
      <c r="K5" s="4" t="s">
        <v>1202</v>
      </c>
    </row>
    <row r="6" spans="1:11" x14ac:dyDescent="0.25">
      <c r="A6" t="s">
        <v>1203</v>
      </c>
      <c r="B6">
        <v>32.5</v>
      </c>
      <c r="C6">
        <v>18.8</v>
      </c>
      <c r="D6">
        <v>13</v>
      </c>
      <c r="E6">
        <v>10.8</v>
      </c>
      <c r="F6">
        <v>54.6</v>
      </c>
      <c r="J6">
        <v>6.9</v>
      </c>
      <c r="K6" s="4" t="s">
        <v>1204</v>
      </c>
    </row>
    <row r="7" spans="1:11" x14ac:dyDescent="0.25">
      <c r="A7" t="s">
        <v>1205</v>
      </c>
      <c r="B7">
        <v>37</v>
      </c>
      <c r="C7">
        <v>19.100000000000001</v>
      </c>
      <c r="D7">
        <v>13.2</v>
      </c>
      <c r="E7">
        <v>11</v>
      </c>
      <c r="J7">
        <v>6.8</v>
      </c>
      <c r="K7" s="4" t="s">
        <v>1206</v>
      </c>
    </row>
    <row r="9" spans="1:11" x14ac:dyDescent="0.25">
      <c r="A9" s="5" t="s">
        <v>1168</v>
      </c>
      <c r="B9" s="6">
        <f t="shared" ref="B9:J9" si="0">AVERAGE(B4:B7)</f>
        <v>30.3</v>
      </c>
      <c r="C9" s="6">
        <f>AVERAGE(C4:C7)</f>
        <v>18.950000000000003</v>
      </c>
      <c r="D9" s="6">
        <f t="shared" si="0"/>
        <v>13.024999999999999</v>
      </c>
      <c r="E9" s="6">
        <f t="shared" si="0"/>
        <v>10.775</v>
      </c>
      <c r="F9" s="6">
        <f t="shared" si="0"/>
        <v>58.566666666666663</v>
      </c>
      <c r="G9" s="6" t="e">
        <f t="shared" si="0"/>
        <v>#DIV/0!</v>
      </c>
      <c r="H9" s="6" t="e">
        <f t="shared" si="0"/>
        <v>#DIV/0!</v>
      </c>
      <c r="I9" s="6" t="e">
        <f t="shared" si="0"/>
        <v>#DIV/0!</v>
      </c>
      <c r="J9" s="6">
        <f t="shared" si="0"/>
        <v>7.2250000000000005</v>
      </c>
    </row>
  </sheetData>
  <mergeCells count="2">
    <mergeCell ref="D2:E2"/>
    <mergeCell ref="G2:I2"/>
  </mergeCells>
  <hyperlinks>
    <hyperlink ref="K4" r:id="rId1" xr:uid="{00000000-0004-0000-0100-000000000000}"/>
    <hyperlink ref="K6" r:id="rId2" xr:uid="{00000000-0004-0000-0100-000001000000}"/>
    <hyperlink ref="K5" r:id="rId3" xr:uid="{6E8DE8BE-BDC4-0E49-9E46-78A9BE492730}"/>
    <hyperlink ref="K7" r:id="rId4" xr:uid="{1B9B7D8F-861E-CA4B-9EB5-5BF5B8DD8979}"/>
  </hyperlinks>
  <pageMargins left="0.7" right="0.7" top="0.75" bottom="0.75" header="0.3" footer="0.3"/>
  <pageSetup paperSize="9" orientation="portrait"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J7"/>
  <sheetViews>
    <sheetView workbookViewId="0">
      <selection activeCell="J4" sqref="J4"/>
    </sheetView>
  </sheetViews>
  <sheetFormatPr defaultColWidth="9.140625" defaultRowHeight="15" x14ac:dyDescent="0.25"/>
  <cols>
    <col min="1" max="2" width="22.140625" customWidth="1"/>
    <col min="7" max="7" width="12.7109375" bestFit="1" customWidth="1"/>
    <col min="8" max="8" width="16.7109375" bestFit="1" customWidth="1"/>
    <col min="9" max="9" width="16.7109375" customWidth="1"/>
  </cols>
  <sheetData>
    <row r="1" spans="1:10" ht="18.75" x14ac:dyDescent="0.25">
      <c r="A1" s="2" t="s">
        <v>1207</v>
      </c>
      <c r="B1" s="2"/>
      <c r="C1" t="s">
        <v>1208</v>
      </c>
    </row>
    <row r="2" spans="1:10" ht="14.25" customHeight="1" x14ac:dyDescent="0.25">
      <c r="A2" s="2"/>
      <c r="B2" s="2"/>
      <c r="D2" s="82" t="s">
        <v>1146</v>
      </c>
      <c r="E2" s="82"/>
      <c r="F2" s="82" t="s">
        <v>1147</v>
      </c>
      <c r="G2" s="82"/>
      <c r="H2" s="82"/>
      <c r="I2" s="8"/>
    </row>
    <row r="3" spans="1:10" x14ac:dyDescent="0.25">
      <c r="A3" s="3" t="s">
        <v>1148</v>
      </c>
      <c r="B3" s="3" t="s">
        <v>1209</v>
      </c>
      <c r="C3" s="3" t="s">
        <v>1150</v>
      </c>
      <c r="D3" s="3" t="s">
        <v>1151</v>
      </c>
      <c r="E3" s="3" t="s">
        <v>1152</v>
      </c>
      <c r="F3" s="3" t="s">
        <v>1151</v>
      </c>
      <c r="G3" s="3" t="s">
        <v>1155</v>
      </c>
      <c r="H3" s="3" t="s">
        <v>1156</v>
      </c>
      <c r="I3" s="3" t="s">
        <v>1158</v>
      </c>
      <c r="J3" s="3" t="s">
        <v>1159</v>
      </c>
    </row>
    <row r="4" spans="1:10" x14ac:dyDescent="0.25">
      <c r="A4" t="s">
        <v>1210</v>
      </c>
      <c r="B4">
        <v>29.6</v>
      </c>
      <c r="C4">
        <v>18.2</v>
      </c>
      <c r="D4">
        <v>10.3</v>
      </c>
      <c r="E4">
        <v>8.4</v>
      </c>
      <c r="F4">
        <v>56.7</v>
      </c>
      <c r="I4">
        <v>6.8</v>
      </c>
      <c r="J4" s="4" t="s">
        <v>1211</v>
      </c>
    </row>
    <row r="5" spans="1:10" x14ac:dyDescent="0.25">
      <c r="A5" t="s">
        <v>1212</v>
      </c>
      <c r="B5">
        <v>92.8</v>
      </c>
      <c r="C5">
        <v>18.2</v>
      </c>
      <c r="D5">
        <v>8.5</v>
      </c>
      <c r="E5">
        <v>6.9</v>
      </c>
      <c r="F5">
        <v>46.8</v>
      </c>
      <c r="I5">
        <v>3.9</v>
      </c>
      <c r="J5" s="4" t="s">
        <v>1213</v>
      </c>
    </row>
    <row r="7" spans="1:10" x14ac:dyDescent="0.25">
      <c r="A7" s="5" t="s">
        <v>1168</v>
      </c>
      <c r="B7" s="5">
        <f>AVERAGE(B4,B5)</f>
        <v>61.2</v>
      </c>
      <c r="C7" s="6">
        <f>AVERAGE(C4:C5)</f>
        <v>18.2</v>
      </c>
      <c r="D7" s="6">
        <f t="shared" ref="D7:I7" si="0">AVERAGE(D4:D5)</f>
        <v>9.4</v>
      </c>
      <c r="E7" s="6">
        <f t="shared" si="0"/>
        <v>7.65</v>
      </c>
      <c r="F7" s="6">
        <f t="shared" si="0"/>
        <v>51.75</v>
      </c>
      <c r="G7" s="6" t="e">
        <f t="shared" si="0"/>
        <v>#DIV/0!</v>
      </c>
      <c r="H7" s="6" t="e">
        <f t="shared" si="0"/>
        <v>#DIV/0!</v>
      </c>
      <c r="I7" s="6">
        <f t="shared" si="0"/>
        <v>5.35</v>
      </c>
    </row>
  </sheetData>
  <mergeCells count="2">
    <mergeCell ref="D2:E2"/>
    <mergeCell ref="F2:H2"/>
  </mergeCells>
  <hyperlinks>
    <hyperlink ref="J4" r:id="rId1" xr:uid="{00000000-0004-0000-0200-000000000000}"/>
    <hyperlink ref="J5" r:id="rId2" xr:uid="{00000000-0004-0000-0200-000001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K9"/>
  <sheetViews>
    <sheetView workbookViewId="0">
      <selection activeCell="F3" sqref="F3"/>
    </sheetView>
  </sheetViews>
  <sheetFormatPr defaultColWidth="9.140625" defaultRowHeight="15" x14ac:dyDescent="0.25"/>
  <cols>
    <col min="1" max="1" width="43.28515625" customWidth="1"/>
    <col min="2" max="2" width="18.7109375" customWidth="1"/>
    <col min="6" max="6" width="22.85546875" customWidth="1"/>
    <col min="7" max="7" width="8.28515625" bestFit="1" customWidth="1"/>
    <col min="8" max="8" width="16.140625" bestFit="1" customWidth="1"/>
    <col min="9" max="9" width="19.140625" bestFit="1" customWidth="1"/>
    <col min="10" max="10" width="23" bestFit="1" customWidth="1"/>
  </cols>
  <sheetData>
    <row r="1" spans="1:11" ht="18.75" x14ac:dyDescent="0.25">
      <c r="A1" s="2" t="s">
        <v>1214</v>
      </c>
      <c r="B1" s="2"/>
      <c r="C1" t="s">
        <v>1215</v>
      </c>
    </row>
    <row r="2" spans="1:11" ht="15.75" customHeight="1" x14ac:dyDescent="0.25">
      <c r="A2" s="2"/>
      <c r="B2" s="2"/>
      <c r="C2" s="82" t="s">
        <v>1146</v>
      </c>
      <c r="D2" s="82"/>
      <c r="E2" s="82"/>
      <c r="F2" s="82"/>
      <c r="G2" s="82" t="s">
        <v>1147</v>
      </c>
      <c r="H2" s="82"/>
      <c r="I2" s="82"/>
      <c r="J2" s="8"/>
    </row>
    <row r="3" spans="1:11" x14ac:dyDescent="0.25">
      <c r="A3" s="3" t="s">
        <v>1148</v>
      </c>
      <c r="B3" s="3" t="s">
        <v>1209</v>
      </c>
      <c r="C3" s="3" t="s">
        <v>1150</v>
      </c>
      <c r="D3" s="3" t="s">
        <v>1151</v>
      </c>
      <c r="E3" s="3" t="s">
        <v>1152</v>
      </c>
      <c r="F3" s="3" t="s">
        <v>1157</v>
      </c>
      <c r="G3" s="3" t="s">
        <v>1154</v>
      </c>
      <c r="H3" s="3" t="s">
        <v>1155</v>
      </c>
      <c r="I3" s="3" t="s">
        <v>1156</v>
      </c>
      <c r="J3" s="3" t="s">
        <v>1158</v>
      </c>
      <c r="K3" s="3" t="s">
        <v>1159</v>
      </c>
    </row>
    <row r="4" spans="1:11" x14ac:dyDescent="0.25">
      <c r="A4" t="s">
        <v>1216</v>
      </c>
      <c r="B4">
        <v>94.5</v>
      </c>
      <c r="C4">
        <v>17.7</v>
      </c>
      <c r="D4">
        <v>9</v>
      </c>
      <c r="E4">
        <v>7.2</v>
      </c>
      <c r="J4">
        <v>3.7</v>
      </c>
      <c r="K4" s="4" t="s">
        <v>1217</v>
      </c>
    </row>
    <row r="5" spans="1:11" x14ac:dyDescent="0.25">
      <c r="A5" t="s">
        <v>1218</v>
      </c>
      <c r="C5">
        <v>17.8</v>
      </c>
      <c r="D5">
        <v>9.5</v>
      </c>
      <c r="E5">
        <v>7.7</v>
      </c>
      <c r="F5">
        <v>8</v>
      </c>
      <c r="J5">
        <v>3.6</v>
      </c>
      <c r="K5" s="4" t="s">
        <v>1219</v>
      </c>
    </row>
    <row r="6" spans="1:11" x14ac:dyDescent="0.25">
      <c r="A6" t="s">
        <v>1220</v>
      </c>
      <c r="B6">
        <v>93.1</v>
      </c>
      <c r="C6">
        <v>17.7</v>
      </c>
      <c r="D6">
        <v>7.7</v>
      </c>
      <c r="E6">
        <v>6.3</v>
      </c>
      <c r="F6">
        <v>7</v>
      </c>
      <c r="J6">
        <v>5.2</v>
      </c>
      <c r="K6" s="4" t="s">
        <v>1221</v>
      </c>
    </row>
    <row r="7" spans="1:11" x14ac:dyDescent="0.25">
      <c r="A7" t="s">
        <v>1222</v>
      </c>
      <c r="B7">
        <v>93.1</v>
      </c>
      <c r="C7">
        <v>17.7</v>
      </c>
      <c r="D7">
        <v>9.5</v>
      </c>
      <c r="E7">
        <v>7.7</v>
      </c>
      <c r="F7">
        <v>16</v>
      </c>
      <c r="J7">
        <v>5</v>
      </c>
      <c r="K7" s="4" t="s">
        <v>1223</v>
      </c>
    </row>
    <row r="9" spans="1:11" x14ac:dyDescent="0.25">
      <c r="A9" s="5" t="s">
        <v>1168</v>
      </c>
      <c r="B9" s="5">
        <f>AVERAGE(B4,B6,B7)</f>
        <v>93.566666666666663</v>
      </c>
      <c r="C9" s="6">
        <f>AVERAGE(C4:C7)</f>
        <v>17.725000000000001</v>
      </c>
      <c r="D9" s="6">
        <f>AVERAGE(D4:D7)</f>
        <v>8.9250000000000007</v>
      </c>
      <c r="E9" s="6">
        <f>AVERAGE(E4:E7)</f>
        <v>7.2249999999999996</v>
      </c>
      <c r="F9" s="6">
        <f>AVERAGE(F5,F6,F7)</f>
        <v>10.333333333333334</v>
      </c>
      <c r="G9" s="6" t="e">
        <f t="shared" ref="G9:H9" si="0">AVERAGE(G4:G7)</f>
        <v>#DIV/0!</v>
      </c>
      <c r="H9" s="6" t="e">
        <f t="shared" si="0"/>
        <v>#DIV/0!</v>
      </c>
      <c r="I9" s="6"/>
      <c r="J9" s="6">
        <f>AVERAGE(J4:J7)</f>
        <v>4.375</v>
      </c>
    </row>
  </sheetData>
  <mergeCells count="2">
    <mergeCell ref="G2:I2"/>
    <mergeCell ref="C2:F2"/>
  </mergeCells>
  <hyperlinks>
    <hyperlink ref="K4" r:id="rId1" xr:uid="{00000000-0004-0000-0300-000000000000}"/>
    <hyperlink ref="K5" r:id="rId2" xr:uid="{00000000-0004-0000-0300-000001000000}"/>
    <hyperlink ref="K6" r:id="rId3" xr:uid="{00000000-0004-0000-0300-000002000000}"/>
    <hyperlink ref="K7" r:id="rId4" xr:uid="{00000000-0004-0000-0300-000003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7"/>
  <sheetViews>
    <sheetView workbookViewId="0">
      <selection activeCell="B8" sqref="B8"/>
    </sheetView>
  </sheetViews>
  <sheetFormatPr defaultColWidth="9.140625" defaultRowHeight="15" x14ac:dyDescent="0.25"/>
  <cols>
    <col min="1" max="1" width="35.7109375" customWidth="1"/>
    <col min="2" max="2" width="22.140625" customWidth="1"/>
    <col min="8" max="8" width="12.7109375" bestFit="1" customWidth="1"/>
    <col min="9" max="9" width="12.7109375" customWidth="1"/>
    <col min="10" max="10" width="16.7109375" bestFit="1" customWidth="1"/>
    <col min="11" max="11" width="16.7109375" customWidth="1"/>
  </cols>
  <sheetData>
    <row r="1" spans="1:12" ht="18.75" x14ac:dyDescent="0.25">
      <c r="A1" s="2" t="s">
        <v>1224</v>
      </c>
      <c r="B1" s="2"/>
      <c r="C1" t="s">
        <v>1208</v>
      </c>
    </row>
    <row r="2" spans="1:12" ht="14.25" customHeight="1" x14ac:dyDescent="0.25">
      <c r="A2" s="2"/>
      <c r="B2" s="2"/>
      <c r="D2" s="82" t="s">
        <v>1146</v>
      </c>
      <c r="E2" s="82"/>
      <c r="F2" s="82"/>
      <c r="G2" s="82" t="s">
        <v>1147</v>
      </c>
      <c r="H2" s="82"/>
      <c r="I2" s="82"/>
      <c r="J2" s="82"/>
      <c r="K2" s="8"/>
    </row>
    <row r="3" spans="1:12" x14ac:dyDescent="0.25">
      <c r="A3" s="3" t="s">
        <v>1148</v>
      </c>
      <c r="B3" s="3" t="s">
        <v>1149</v>
      </c>
      <c r="C3" s="3" t="s">
        <v>1150</v>
      </c>
      <c r="D3" s="3" t="s">
        <v>1151</v>
      </c>
      <c r="E3" s="3" t="s">
        <v>1157</v>
      </c>
      <c r="F3" s="3" t="s">
        <v>1152</v>
      </c>
      <c r="G3" s="3" t="s">
        <v>1225</v>
      </c>
      <c r="H3" s="3" t="s">
        <v>1155</v>
      </c>
      <c r="I3" s="3" t="s">
        <v>1157</v>
      </c>
      <c r="J3" s="3" t="s">
        <v>1156</v>
      </c>
      <c r="K3" s="3" t="s">
        <v>1158</v>
      </c>
      <c r="L3" s="3" t="s">
        <v>1159</v>
      </c>
    </row>
    <row r="4" spans="1:12" x14ac:dyDescent="0.25">
      <c r="A4" t="s">
        <v>1226</v>
      </c>
      <c r="B4">
        <v>31.8</v>
      </c>
      <c r="C4">
        <v>19.7</v>
      </c>
      <c r="D4">
        <v>12.1</v>
      </c>
      <c r="E4">
        <v>64.5</v>
      </c>
      <c r="F4">
        <v>9.6</v>
      </c>
      <c r="K4">
        <v>19</v>
      </c>
      <c r="L4" s="4" t="s">
        <v>1227</v>
      </c>
    </row>
    <row r="5" spans="1:12" x14ac:dyDescent="0.25">
      <c r="A5" t="s">
        <v>1228</v>
      </c>
      <c r="B5">
        <v>90.3</v>
      </c>
      <c r="C5">
        <v>19.2</v>
      </c>
      <c r="D5">
        <v>10.8</v>
      </c>
      <c r="F5">
        <v>8.6999999999999993</v>
      </c>
      <c r="K5">
        <v>14.5</v>
      </c>
      <c r="L5" s="4" t="s">
        <v>1229</v>
      </c>
    </row>
    <row r="7" spans="1:12" x14ac:dyDescent="0.25">
      <c r="A7" s="5" t="s">
        <v>1168</v>
      </c>
      <c r="B7" s="5">
        <f>AVERAGE(B4,B5)</f>
        <v>61.05</v>
      </c>
      <c r="C7" s="6">
        <f>AVERAGE(C4:C5)</f>
        <v>19.45</v>
      </c>
      <c r="D7" s="6">
        <f t="shared" ref="D7:K7" si="0">AVERAGE(D4:D5)</f>
        <v>11.45</v>
      </c>
      <c r="E7" s="6"/>
      <c r="F7" s="6">
        <f t="shared" si="0"/>
        <v>9.1499999999999986</v>
      </c>
      <c r="G7" s="6" t="e">
        <f t="shared" si="0"/>
        <v>#DIV/0!</v>
      </c>
      <c r="H7" s="6" t="e">
        <f t="shared" si="0"/>
        <v>#DIV/0!</v>
      </c>
      <c r="I7" s="6"/>
      <c r="J7" s="6" t="e">
        <f t="shared" si="0"/>
        <v>#DIV/0!</v>
      </c>
      <c r="K7" s="6">
        <f t="shared" si="0"/>
        <v>16.75</v>
      </c>
    </row>
  </sheetData>
  <mergeCells count="2">
    <mergeCell ref="D2:F2"/>
    <mergeCell ref="G2:J2"/>
  </mergeCells>
  <hyperlinks>
    <hyperlink ref="L5" r:id="rId1" xr:uid="{00000000-0004-0000-0400-000001000000}"/>
    <hyperlink ref="L4" r:id="rId2" xr:uid="{00000000-0004-0000-04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
  <sheetViews>
    <sheetView workbookViewId="0">
      <selection activeCell="B1" sqref="B1"/>
    </sheetView>
  </sheetViews>
  <sheetFormatPr defaultColWidth="9.140625" defaultRowHeight="15" x14ac:dyDescent="0.25"/>
  <cols>
    <col min="1" max="1" width="43.28515625" customWidth="1"/>
    <col min="2" max="2" width="13.42578125" customWidth="1"/>
    <col min="6" max="6" width="15.140625" customWidth="1"/>
    <col min="7" max="7" width="8.28515625" bestFit="1" customWidth="1"/>
    <col min="8" max="8" width="16.140625" bestFit="1" customWidth="1"/>
    <col min="9" max="9" width="19.140625" bestFit="1" customWidth="1"/>
    <col min="10" max="10" width="23" bestFit="1" customWidth="1"/>
  </cols>
  <sheetData>
    <row r="1" spans="1:11" ht="18.75" x14ac:dyDescent="0.25">
      <c r="A1" s="2" t="s">
        <v>1230</v>
      </c>
      <c r="B1" s="2"/>
    </row>
    <row r="2" spans="1:11" ht="15.75" customHeight="1" x14ac:dyDescent="0.25">
      <c r="A2" s="2"/>
      <c r="B2" s="2"/>
      <c r="D2" s="82" t="s">
        <v>1146</v>
      </c>
      <c r="E2" s="82"/>
      <c r="F2" s="82"/>
      <c r="G2" s="82" t="s">
        <v>1147</v>
      </c>
      <c r="H2" s="82"/>
      <c r="I2" s="82"/>
      <c r="J2" s="8"/>
    </row>
    <row r="3" spans="1:11" x14ac:dyDescent="0.25">
      <c r="A3" s="3" t="s">
        <v>1148</v>
      </c>
      <c r="B3" s="3" t="s">
        <v>1149</v>
      </c>
      <c r="C3" s="3" t="s">
        <v>1150</v>
      </c>
      <c r="D3" s="3" t="s">
        <v>1151</v>
      </c>
      <c r="E3" s="3" t="s">
        <v>1152</v>
      </c>
      <c r="F3" s="3" t="s">
        <v>1153</v>
      </c>
      <c r="G3" s="3" t="s">
        <v>1154</v>
      </c>
      <c r="H3" s="3" t="s">
        <v>1155</v>
      </c>
      <c r="I3" s="3" t="s">
        <v>1156</v>
      </c>
      <c r="J3" s="3" t="s">
        <v>1158</v>
      </c>
      <c r="K3" s="3" t="s">
        <v>1159</v>
      </c>
    </row>
    <row r="4" spans="1:11" x14ac:dyDescent="0.25">
      <c r="A4" t="s">
        <v>1231</v>
      </c>
      <c r="C4">
        <v>17.899999999999999</v>
      </c>
      <c r="G4">
        <v>2.6</v>
      </c>
      <c r="J4">
        <v>7.7</v>
      </c>
      <c r="K4" s="4" t="s">
        <v>1232</v>
      </c>
    </row>
    <row r="5" spans="1:11" x14ac:dyDescent="0.25">
      <c r="A5" t="s">
        <v>1233</v>
      </c>
      <c r="B5">
        <v>6.9</v>
      </c>
      <c r="C5">
        <v>16.7</v>
      </c>
      <c r="G5">
        <v>8.8000000000000007</v>
      </c>
      <c r="J5">
        <v>3.5</v>
      </c>
      <c r="K5" s="4" t="s">
        <v>1234</v>
      </c>
    </row>
    <row r="6" spans="1:11" x14ac:dyDescent="0.25">
      <c r="A6" t="s">
        <v>1235</v>
      </c>
      <c r="B6">
        <v>7.2</v>
      </c>
      <c r="C6">
        <v>16.600000000000001</v>
      </c>
      <c r="G6">
        <v>7.4</v>
      </c>
      <c r="J6">
        <v>5.0999999999999996</v>
      </c>
      <c r="K6" s="4" t="s">
        <v>1236</v>
      </c>
    </row>
    <row r="7" spans="1:11" x14ac:dyDescent="0.25">
      <c r="A7" t="s">
        <v>1237</v>
      </c>
      <c r="B7">
        <v>16</v>
      </c>
      <c r="C7">
        <v>17.7</v>
      </c>
      <c r="D7">
        <v>12.4</v>
      </c>
      <c r="E7">
        <v>9.9</v>
      </c>
      <c r="F7">
        <v>54.7</v>
      </c>
      <c r="J7">
        <v>16.600000000000001</v>
      </c>
      <c r="K7" s="4" t="s">
        <v>1238</v>
      </c>
    </row>
    <row r="8" spans="1:11" x14ac:dyDescent="0.25">
      <c r="A8" t="s">
        <v>1239</v>
      </c>
      <c r="C8">
        <v>17.100000000000001</v>
      </c>
      <c r="G8">
        <v>2.7</v>
      </c>
      <c r="J8">
        <v>8.6999999999999993</v>
      </c>
      <c r="K8" s="4" t="s">
        <v>1240</v>
      </c>
    </row>
    <row r="10" spans="1:11" x14ac:dyDescent="0.25">
      <c r="A10" s="5" t="s">
        <v>1168</v>
      </c>
      <c r="B10" s="5">
        <f>AVERAGE(B5,B6,B7)</f>
        <v>10.033333333333333</v>
      </c>
      <c r="C10" s="6">
        <f>AVERAGE(C4:C8)</f>
        <v>17.2</v>
      </c>
      <c r="D10" s="6">
        <f>AVERAGE(D4:D8)</f>
        <v>12.4</v>
      </c>
      <c r="E10" s="6">
        <f>AVERAGE(E4:E8)</f>
        <v>9.9</v>
      </c>
      <c r="F10" s="6"/>
      <c r="G10" s="6">
        <f t="shared" ref="G10:H10" si="0">AVERAGE(G4:G8)</f>
        <v>5.375</v>
      </c>
      <c r="H10" s="6" t="e">
        <f t="shared" si="0"/>
        <v>#DIV/0!</v>
      </c>
      <c r="I10" s="6"/>
      <c r="J10" s="6">
        <f>AVERAGE(J4:J8)</f>
        <v>8.3199999999999985</v>
      </c>
    </row>
  </sheetData>
  <mergeCells count="2">
    <mergeCell ref="G2:I2"/>
    <mergeCell ref="D2:F2"/>
  </mergeCells>
  <hyperlinks>
    <hyperlink ref="K4" r:id="rId1" xr:uid="{FAC9DF82-871D-594B-BDEB-6BFDA3547AAB}"/>
    <hyperlink ref="K5" r:id="rId2" xr:uid="{04FEAE4C-9714-A14B-A1BA-E7F49F6A69FD}"/>
    <hyperlink ref="K6" r:id="rId3" xr:uid="{76913603-80B8-7A46-9882-5207F0199154}"/>
    <hyperlink ref="K7" r:id="rId4" xr:uid="{FAE09E0D-27F2-A44E-9769-05017039294D}"/>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BDF16-E0EB-714C-907E-C85AFFFE506E}">
  <dimension ref="A1:K13"/>
  <sheetViews>
    <sheetView workbookViewId="0">
      <selection activeCell="I33" sqref="I33"/>
    </sheetView>
  </sheetViews>
  <sheetFormatPr defaultColWidth="11.42578125" defaultRowHeight="15" x14ac:dyDescent="0.25"/>
  <cols>
    <col min="1" max="1" width="45.28515625" customWidth="1"/>
  </cols>
  <sheetData>
    <row r="1" spans="1:11" ht="18.75" x14ac:dyDescent="0.25">
      <c r="A1" s="2" t="s">
        <v>1241</v>
      </c>
      <c r="B1" s="2"/>
    </row>
    <row r="2" spans="1:11" ht="18.75" x14ac:dyDescent="0.25">
      <c r="A2" s="2"/>
      <c r="B2" s="2"/>
      <c r="D2" s="82" t="s">
        <v>1146</v>
      </c>
      <c r="E2" s="82"/>
      <c r="F2" s="82"/>
      <c r="G2" s="82" t="s">
        <v>1147</v>
      </c>
      <c r="H2" s="82"/>
      <c r="I2" s="82"/>
      <c r="J2" s="8"/>
    </row>
    <row r="3" spans="1:11" x14ac:dyDescent="0.25">
      <c r="A3" s="3" t="s">
        <v>1148</v>
      </c>
      <c r="B3" s="3" t="s">
        <v>1149</v>
      </c>
      <c r="C3" s="3" t="s">
        <v>1150</v>
      </c>
      <c r="D3" s="3" t="s">
        <v>1151</v>
      </c>
      <c r="E3" s="3" t="s">
        <v>1152</v>
      </c>
      <c r="F3" s="3" t="s">
        <v>1153</v>
      </c>
      <c r="G3" s="3" t="s">
        <v>1154</v>
      </c>
      <c r="H3" s="3" t="s">
        <v>1155</v>
      </c>
      <c r="I3" s="3" t="s">
        <v>1156</v>
      </c>
      <c r="J3" s="3" t="s">
        <v>1158</v>
      </c>
      <c r="K3" s="3" t="s">
        <v>1159</v>
      </c>
    </row>
    <row r="4" spans="1:11" x14ac:dyDescent="0.25">
      <c r="A4" t="s">
        <v>1242</v>
      </c>
      <c r="B4">
        <v>17.100000000000001</v>
      </c>
      <c r="C4">
        <v>17.899999999999999</v>
      </c>
      <c r="J4">
        <v>4.7</v>
      </c>
      <c r="K4" s="4" t="s">
        <v>1243</v>
      </c>
    </row>
    <row r="5" spans="1:11" x14ac:dyDescent="0.25">
      <c r="A5" t="s">
        <v>717</v>
      </c>
      <c r="B5">
        <v>17.5</v>
      </c>
      <c r="C5">
        <v>17.8</v>
      </c>
      <c r="G5">
        <v>14.1</v>
      </c>
      <c r="J5">
        <v>4.2</v>
      </c>
      <c r="K5" s="4" t="s">
        <v>718</v>
      </c>
    </row>
    <row r="6" spans="1:11" x14ac:dyDescent="0.25">
      <c r="A6" t="s">
        <v>1244</v>
      </c>
      <c r="B6">
        <v>53.5</v>
      </c>
      <c r="C6">
        <v>18.899999999999999</v>
      </c>
      <c r="E6">
        <v>10.7</v>
      </c>
      <c r="F6">
        <v>72.099999999999994</v>
      </c>
      <c r="G6">
        <v>16.399999999999999</v>
      </c>
      <c r="J6">
        <v>6.4</v>
      </c>
      <c r="K6" s="4" t="s">
        <v>1245</v>
      </c>
    </row>
    <row r="7" spans="1:11" x14ac:dyDescent="0.25">
      <c r="A7" t="s">
        <v>1246</v>
      </c>
      <c r="B7">
        <v>91.9</v>
      </c>
      <c r="C7">
        <v>20.2</v>
      </c>
      <c r="D7">
        <v>17.2</v>
      </c>
      <c r="J7">
        <v>7.5</v>
      </c>
      <c r="K7" t="s">
        <v>1247</v>
      </c>
    </row>
    <row r="8" spans="1:11" x14ac:dyDescent="0.25">
      <c r="A8" t="s">
        <v>1248</v>
      </c>
      <c r="B8">
        <v>15.6</v>
      </c>
      <c r="C8">
        <v>17.7</v>
      </c>
      <c r="G8">
        <v>13.8</v>
      </c>
      <c r="J8">
        <v>6.2</v>
      </c>
      <c r="K8" s="4" t="s">
        <v>1249</v>
      </c>
    </row>
    <row r="9" spans="1:11" x14ac:dyDescent="0.25">
      <c r="A9" t="s">
        <v>1250</v>
      </c>
      <c r="B9">
        <v>92.2</v>
      </c>
      <c r="C9">
        <v>17.8</v>
      </c>
      <c r="G9">
        <v>12.5</v>
      </c>
      <c r="J9">
        <v>4.5999999999999996</v>
      </c>
      <c r="K9" t="s">
        <v>1251</v>
      </c>
    </row>
    <row r="10" spans="1:11" x14ac:dyDescent="0.25">
      <c r="A10" t="s">
        <v>1252</v>
      </c>
      <c r="B10">
        <v>91.9</v>
      </c>
      <c r="C10">
        <v>18.600000000000001</v>
      </c>
      <c r="D10">
        <v>15.6</v>
      </c>
      <c r="E10">
        <v>13.1</v>
      </c>
      <c r="G10">
        <v>12.5</v>
      </c>
      <c r="J10">
        <v>5</v>
      </c>
      <c r="K10" t="s">
        <v>1253</v>
      </c>
    </row>
    <row r="11" spans="1:11" x14ac:dyDescent="0.25">
      <c r="A11" t="s">
        <v>1254</v>
      </c>
      <c r="B11">
        <v>93.7</v>
      </c>
      <c r="C11">
        <v>17.399999999999999</v>
      </c>
      <c r="G11">
        <v>14.9</v>
      </c>
      <c r="J11">
        <v>6.9</v>
      </c>
      <c r="K11" t="s">
        <v>1255</v>
      </c>
    </row>
    <row r="13" spans="1:11" x14ac:dyDescent="0.25">
      <c r="A13" s="5" t="s">
        <v>1168</v>
      </c>
      <c r="B13" s="5">
        <f>AVERAGE(B4,B5,B6,B7,B8,B9,B10,B11)</f>
        <v>59.175000000000004</v>
      </c>
      <c r="C13" s="6">
        <f>AVERAGE(C4,C5,C6,C7,C8,C9,C10,C11)</f>
        <v>18.287500000000001</v>
      </c>
      <c r="D13" s="6">
        <f>AVERAGE(D7,D10)</f>
        <v>16.399999999999999</v>
      </c>
      <c r="E13" s="6">
        <f>AVERAGE(E6,E10)</f>
        <v>11.899999999999999</v>
      </c>
      <c r="F13" s="6"/>
      <c r="G13" s="6">
        <f>AVERAGE(G5,G6,G8,G9,G10,G11)</f>
        <v>14.033333333333333</v>
      </c>
      <c r="H13" s="6" t="e">
        <f t="shared" ref="H13" si="0">AVERAGE(H4:H8)</f>
        <v>#DIV/0!</v>
      </c>
      <c r="I13" s="6"/>
      <c r="J13" s="6">
        <f>AVERAGE(J4,J5,J6,J7,J8,J9,J10,J11)</f>
        <v>5.6875</v>
      </c>
    </row>
  </sheetData>
  <mergeCells count="2">
    <mergeCell ref="D2:F2"/>
    <mergeCell ref="G2:I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A10CA-E471-5E4D-A21E-A046223A11A4}">
  <dimension ref="A1:L8"/>
  <sheetViews>
    <sheetView workbookViewId="0">
      <selection sqref="A1:XFD1048576"/>
    </sheetView>
  </sheetViews>
  <sheetFormatPr defaultColWidth="11.42578125" defaultRowHeight="15" x14ac:dyDescent="0.25"/>
  <cols>
    <col min="1" max="1" width="45.28515625" customWidth="1"/>
  </cols>
  <sheetData>
    <row r="1" spans="1:12" ht="18.75" x14ac:dyDescent="0.25">
      <c r="A1" s="2" t="s">
        <v>1145</v>
      </c>
      <c r="B1" s="2"/>
    </row>
    <row r="2" spans="1:12" ht="18.75" x14ac:dyDescent="0.25">
      <c r="A2" s="2"/>
      <c r="B2" s="2"/>
      <c r="D2" s="82" t="s">
        <v>1146</v>
      </c>
      <c r="E2" s="82"/>
      <c r="F2" s="82"/>
      <c r="G2" s="82" t="s">
        <v>1147</v>
      </c>
      <c r="H2" s="82"/>
      <c r="I2" s="82"/>
      <c r="J2" s="82"/>
      <c r="K2" s="8"/>
    </row>
    <row r="3" spans="1:12" x14ac:dyDescent="0.25">
      <c r="A3" s="3" t="s">
        <v>1148</v>
      </c>
      <c r="B3" s="3" t="s">
        <v>1149</v>
      </c>
      <c r="C3" s="3" t="s">
        <v>1150</v>
      </c>
      <c r="D3" s="3" t="s">
        <v>1151</v>
      </c>
      <c r="E3" s="3" t="s">
        <v>1152</v>
      </c>
      <c r="F3" s="3" t="s">
        <v>1153</v>
      </c>
      <c r="G3" s="3" t="s">
        <v>1154</v>
      </c>
      <c r="H3" s="3" t="s">
        <v>1155</v>
      </c>
      <c r="I3" s="3" t="s">
        <v>1156</v>
      </c>
      <c r="J3" s="3" t="s">
        <v>1157</v>
      </c>
      <c r="K3" s="3" t="s">
        <v>1158</v>
      </c>
      <c r="L3" s="3" t="s">
        <v>1159</v>
      </c>
    </row>
    <row r="4" spans="1:12" x14ac:dyDescent="0.25">
      <c r="A4" t="s">
        <v>1256</v>
      </c>
      <c r="B4">
        <v>31.9</v>
      </c>
      <c r="C4">
        <v>20.5</v>
      </c>
      <c r="G4">
        <v>4.9000000000000004</v>
      </c>
      <c r="K4">
        <v>11.3</v>
      </c>
      <c r="L4" s="4" t="s">
        <v>1257</v>
      </c>
    </row>
    <row r="5" spans="1:12" x14ac:dyDescent="0.25">
      <c r="A5" t="s">
        <v>1258</v>
      </c>
      <c r="B5">
        <v>92.1</v>
      </c>
      <c r="C5">
        <v>16.5</v>
      </c>
      <c r="D5">
        <v>12.3</v>
      </c>
      <c r="E5">
        <v>10.199999999999999</v>
      </c>
      <c r="F5">
        <v>63.4</v>
      </c>
      <c r="G5">
        <v>10.6</v>
      </c>
      <c r="J5">
        <v>41.4</v>
      </c>
      <c r="K5">
        <v>8.1</v>
      </c>
      <c r="L5" s="4" t="s">
        <v>1259</v>
      </c>
    </row>
    <row r="6" spans="1:12" x14ac:dyDescent="0.25">
      <c r="L6" s="4"/>
    </row>
    <row r="8" spans="1:12" x14ac:dyDescent="0.25">
      <c r="A8" s="5" t="s">
        <v>1168</v>
      </c>
      <c r="B8" s="5">
        <f>AVERAGE(B4,B5)</f>
        <v>62</v>
      </c>
      <c r="C8" s="6">
        <f>AVERAGE(C4,C5)</f>
        <v>18.5</v>
      </c>
      <c r="D8" s="6"/>
      <c r="E8" s="6"/>
      <c r="F8" s="6"/>
      <c r="G8" s="6">
        <f>AVERAGE(G4,G5)</f>
        <v>7.75</v>
      </c>
      <c r="H8" s="6"/>
      <c r="I8" s="6"/>
      <c r="J8" s="6"/>
      <c r="K8" s="6">
        <f>AVERAGE(K4,K5)</f>
        <v>9.6999999999999993</v>
      </c>
    </row>
  </sheetData>
  <mergeCells count="2">
    <mergeCell ref="D2:F2"/>
    <mergeCell ref="G2:J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AE331-1BC5-C64A-8818-407BC4842BA5}">
  <dimension ref="A1:L9"/>
  <sheetViews>
    <sheetView workbookViewId="0">
      <selection sqref="A1:L3"/>
    </sheetView>
  </sheetViews>
  <sheetFormatPr defaultColWidth="11.42578125" defaultRowHeight="15" x14ac:dyDescent="0.25"/>
  <cols>
    <col min="1" max="1" width="45.28515625" customWidth="1"/>
  </cols>
  <sheetData>
    <row r="1" spans="1:12" ht="18.75" x14ac:dyDescent="0.25">
      <c r="A1" s="2" t="s">
        <v>1260</v>
      </c>
      <c r="B1" s="2"/>
    </row>
    <row r="2" spans="1:12" ht="18.75" x14ac:dyDescent="0.25">
      <c r="A2" s="2"/>
      <c r="B2" s="2"/>
      <c r="D2" s="82" t="s">
        <v>1146</v>
      </c>
      <c r="E2" s="82"/>
      <c r="F2" s="82"/>
      <c r="G2" s="82" t="s">
        <v>1147</v>
      </c>
      <c r="H2" s="82"/>
      <c r="I2" s="82"/>
      <c r="J2" s="82"/>
      <c r="K2" s="8"/>
    </row>
    <row r="3" spans="1:12" x14ac:dyDescent="0.25">
      <c r="A3" s="3" t="s">
        <v>1148</v>
      </c>
      <c r="B3" s="3" t="s">
        <v>1149</v>
      </c>
      <c r="C3" s="3" t="s">
        <v>1150</v>
      </c>
      <c r="D3" s="3" t="s">
        <v>1151</v>
      </c>
      <c r="E3" s="3" t="s">
        <v>1152</v>
      </c>
      <c r="F3" s="3" t="s">
        <v>1153</v>
      </c>
      <c r="G3" s="3" t="s">
        <v>1154</v>
      </c>
      <c r="H3" s="3" t="s">
        <v>1155</v>
      </c>
      <c r="I3" s="3" t="s">
        <v>1156</v>
      </c>
      <c r="J3" s="3" t="s">
        <v>1157</v>
      </c>
      <c r="K3" s="3" t="s">
        <v>1158</v>
      </c>
      <c r="L3" s="3" t="s">
        <v>1159</v>
      </c>
    </row>
    <row r="4" spans="1:12" x14ac:dyDescent="0.25">
      <c r="A4" t="s">
        <v>1261</v>
      </c>
      <c r="B4">
        <v>85.3</v>
      </c>
      <c r="C4">
        <v>17.399999999999999</v>
      </c>
      <c r="D4">
        <v>10.3</v>
      </c>
      <c r="E4">
        <v>8.6999999999999993</v>
      </c>
      <c r="F4">
        <v>26.1</v>
      </c>
      <c r="G4">
        <v>8.5</v>
      </c>
      <c r="H4">
        <v>8.1999999999999993</v>
      </c>
      <c r="J4">
        <v>69.2</v>
      </c>
      <c r="K4">
        <v>5.0999999999999996</v>
      </c>
      <c r="L4" s="4" t="s">
        <v>1262</v>
      </c>
    </row>
    <row r="5" spans="1:12" x14ac:dyDescent="0.25">
      <c r="A5" t="s">
        <v>1263</v>
      </c>
      <c r="B5">
        <v>83.2</v>
      </c>
      <c r="C5">
        <v>18</v>
      </c>
      <c r="E5">
        <v>11.2</v>
      </c>
      <c r="G5">
        <v>9.9</v>
      </c>
      <c r="J5">
        <v>71.900000000000006</v>
      </c>
      <c r="K5">
        <v>7.8</v>
      </c>
      <c r="L5" s="4" t="s">
        <v>1264</v>
      </c>
    </row>
    <row r="6" spans="1:12" x14ac:dyDescent="0.25">
      <c r="A6" t="s">
        <v>1265</v>
      </c>
      <c r="B6">
        <v>91.7</v>
      </c>
      <c r="C6">
        <v>20.7</v>
      </c>
      <c r="E6">
        <v>9.9</v>
      </c>
      <c r="G6">
        <v>17.3</v>
      </c>
      <c r="K6">
        <v>49.4</v>
      </c>
      <c r="L6" s="4" t="s">
        <v>1266</v>
      </c>
    </row>
    <row r="7" spans="1:12" x14ac:dyDescent="0.25">
      <c r="A7" t="s">
        <v>1267</v>
      </c>
      <c r="C7">
        <v>18.8</v>
      </c>
      <c r="D7">
        <v>16.8</v>
      </c>
      <c r="E7">
        <v>13.7</v>
      </c>
      <c r="F7">
        <v>67</v>
      </c>
      <c r="G7">
        <v>14.1</v>
      </c>
      <c r="H7">
        <v>13.4</v>
      </c>
      <c r="K7">
        <v>17.8</v>
      </c>
      <c r="L7" t="s">
        <v>1268</v>
      </c>
    </row>
    <row r="9" spans="1:12" x14ac:dyDescent="0.25">
      <c r="A9" s="5" t="s">
        <v>1168</v>
      </c>
      <c r="B9" s="5">
        <f>AVERAGE(B4,B5,B6)</f>
        <v>86.733333333333334</v>
      </c>
      <c r="C9" s="6">
        <f>AVERAGE(C4,C5,C6,C7)</f>
        <v>18.724999999999998</v>
      </c>
      <c r="D9" s="6">
        <f>AVERAGE(D4,D7)</f>
        <v>13.55</v>
      </c>
      <c r="E9" s="6">
        <f>AVERAGE(E4,E5,E6,E7)</f>
        <v>10.875</v>
      </c>
      <c r="F9" s="6">
        <f>AVERAGE(F4,F7)</f>
        <v>46.55</v>
      </c>
      <c r="G9" s="6">
        <f>AVERAGE(G4,G5,G6,G7)</f>
        <v>12.450000000000001</v>
      </c>
      <c r="H9" s="6">
        <f>AVERAGE(H4,H7)</f>
        <v>10.8</v>
      </c>
      <c r="I9" s="6"/>
      <c r="J9" s="6">
        <f>AVERAGE(J4,J5)</f>
        <v>70.550000000000011</v>
      </c>
      <c r="K9" s="6">
        <f>AVERAGE(K4,K5,K6,K7)</f>
        <v>20.024999999999999</v>
      </c>
    </row>
  </sheetData>
  <mergeCells count="2">
    <mergeCell ref="D2:F2"/>
    <mergeCell ref="G2:J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C26A5-2A64-9C46-BD7C-EE99655BD975}">
  <dimension ref="A1:L7"/>
  <sheetViews>
    <sheetView workbookViewId="0">
      <selection sqref="A1:L3"/>
    </sheetView>
  </sheetViews>
  <sheetFormatPr defaultColWidth="11.42578125" defaultRowHeight="15" x14ac:dyDescent="0.25"/>
  <cols>
    <col min="1" max="1" width="43.42578125" customWidth="1"/>
  </cols>
  <sheetData>
    <row r="1" spans="1:12" ht="18.75" x14ac:dyDescent="0.25">
      <c r="A1" s="2" t="s">
        <v>1269</v>
      </c>
      <c r="B1" s="2"/>
    </row>
    <row r="2" spans="1:12" ht="18.75" x14ac:dyDescent="0.25">
      <c r="A2" s="2"/>
      <c r="B2" s="2"/>
      <c r="D2" s="82" t="s">
        <v>1146</v>
      </c>
      <c r="E2" s="82"/>
      <c r="F2" s="82"/>
      <c r="G2" s="82" t="s">
        <v>1147</v>
      </c>
      <c r="H2" s="82"/>
      <c r="I2" s="82"/>
      <c r="J2" s="82"/>
      <c r="K2" s="8"/>
    </row>
    <row r="3" spans="1:12" x14ac:dyDescent="0.25">
      <c r="A3" s="3" t="s">
        <v>1148</v>
      </c>
      <c r="B3" s="3" t="s">
        <v>1149</v>
      </c>
      <c r="C3" s="3" t="s">
        <v>1150</v>
      </c>
      <c r="D3" s="3" t="s">
        <v>1151</v>
      </c>
      <c r="E3" s="3" t="s">
        <v>1152</v>
      </c>
      <c r="F3" s="3" t="s">
        <v>1153</v>
      </c>
      <c r="G3" s="3" t="s">
        <v>1154</v>
      </c>
      <c r="H3" s="3" t="s">
        <v>1155</v>
      </c>
      <c r="I3" s="3" t="s">
        <v>1156</v>
      </c>
      <c r="J3" s="3" t="s">
        <v>1157</v>
      </c>
      <c r="K3" s="3" t="s">
        <v>1158</v>
      </c>
      <c r="L3" s="3" t="s">
        <v>1159</v>
      </c>
    </row>
    <row r="4" spans="1:12" x14ac:dyDescent="0.25">
      <c r="A4" t="s">
        <v>1270</v>
      </c>
      <c r="B4">
        <v>89.6</v>
      </c>
      <c r="C4">
        <v>19.2</v>
      </c>
      <c r="D4">
        <f>C4*0.65</f>
        <v>12.48</v>
      </c>
      <c r="E4">
        <v>9.4</v>
      </c>
      <c r="F4">
        <v>76.599999999999994</v>
      </c>
      <c r="G4">
        <v>11.1</v>
      </c>
      <c r="H4">
        <v>10.3</v>
      </c>
      <c r="I4">
        <f>AVERAGE(7.8,8)</f>
        <v>7.9</v>
      </c>
      <c r="J4">
        <v>45.6</v>
      </c>
      <c r="K4">
        <v>35.9</v>
      </c>
      <c r="L4" t="s">
        <v>1271</v>
      </c>
    </row>
    <row r="5" spans="1:12" x14ac:dyDescent="0.25">
      <c r="A5" t="s">
        <v>1272</v>
      </c>
      <c r="B5">
        <v>89.8</v>
      </c>
      <c r="C5">
        <v>21.4</v>
      </c>
      <c r="D5" s="16">
        <f>0.66*C5</f>
        <v>14.124000000000001</v>
      </c>
      <c r="E5">
        <v>10.8</v>
      </c>
      <c r="F5">
        <v>75.599999999999994</v>
      </c>
      <c r="G5">
        <v>12.8</v>
      </c>
      <c r="H5">
        <v>12</v>
      </c>
      <c r="I5">
        <f>AVERAGE(10.9,10.4)</f>
        <v>10.65</v>
      </c>
      <c r="J5">
        <v>61.1</v>
      </c>
      <c r="K5">
        <v>33.1</v>
      </c>
      <c r="L5" t="s">
        <v>1273</v>
      </c>
    </row>
    <row r="7" spans="1:12" x14ac:dyDescent="0.25">
      <c r="A7" s="5" t="s">
        <v>1168</v>
      </c>
      <c r="B7">
        <f t="shared" ref="B7:K7" si="0">AVERAGE(B4,B5)</f>
        <v>89.699999999999989</v>
      </c>
      <c r="C7">
        <f t="shared" si="0"/>
        <v>20.299999999999997</v>
      </c>
      <c r="D7">
        <f t="shared" si="0"/>
        <v>13.302</v>
      </c>
      <c r="E7">
        <f t="shared" si="0"/>
        <v>10.100000000000001</v>
      </c>
      <c r="F7">
        <f t="shared" si="0"/>
        <v>76.099999999999994</v>
      </c>
      <c r="G7">
        <f t="shared" si="0"/>
        <v>11.95</v>
      </c>
      <c r="H7">
        <f t="shared" si="0"/>
        <v>11.15</v>
      </c>
      <c r="I7">
        <f t="shared" si="0"/>
        <v>9.2750000000000004</v>
      </c>
      <c r="J7">
        <f t="shared" si="0"/>
        <v>53.35</v>
      </c>
      <c r="K7">
        <f t="shared" si="0"/>
        <v>34.5</v>
      </c>
    </row>
  </sheetData>
  <mergeCells count="2">
    <mergeCell ref="D2:F2"/>
    <mergeCell ref="G2:J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1B57B-8274-E745-A465-3590F377CBCE}">
  <dimension ref="A1:L7"/>
  <sheetViews>
    <sheetView workbookViewId="0">
      <selection activeCell="D42" sqref="D42"/>
    </sheetView>
  </sheetViews>
  <sheetFormatPr defaultColWidth="11.42578125" defaultRowHeight="15" x14ac:dyDescent="0.25"/>
  <cols>
    <col min="1" max="1" width="47.85546875" customWidth="1"/>
  </cols>
  <sheetData>
    <row r="1" spans="1:12" ht="18.75" x14ac:dyDescent="0.25">
      <c r="A1" s="2" t="s">
        <v>1274</v>
      </c>
      <c r="B1" s="2"/>
    </row>
    <row r="2" spans="1:12" ht="18.75" x14ac:dyDescent="0.25">
      <c r="A2" s="2"/>
      <c r="B2" s="2"/>
      <c r="D2" s="82" t="s">
        <v>1146</v>
      </c>
      <c r="E2" s="82"/>
      <c r="F2" s="82"/>
      <c r="G2" s="82" t="s">
        <v>1147</v>
      </c>
      <c r="H2" s="82"/>
      <c r="I2" s="82"/>
      <c r="J2" s="82"/>
      <c r="K2" s="8"/>
    </row>
    <row r="3" spans="1:12" x14ac:dyDescent="0.25">
      <c r="A3" s="3" t="s">
        <v>1148</v>
      </c>
      <c r="B3" s="3" t="s">
        <v>1149</v>
      </c>
      <c r="C3" s="3" t="s">
        <v>1150</v>
      </c>
      <c r="D3" s="3" t="s">
        <v>1151</v>
      </c>
      <c r="E3" s="3" t="s">
        <v>1152</v>
      </c>
      <c r="F3" s="3" t="s">
        <v>1153</v>
      </c>
      <c r="G3" s="3" t="s">
        <v>1154</v>
      </c>
      <c r="H3" s="3" t="s">
        <v>1155</v>
      </c>
      <c r="I3" s="3" t="s">
        <v>1156</v>
      </c>
      <c r="J3" s="3" t="s">
        <v>1157</v>
      </c>
      <c r="K3" s="3" t="s">
        <v>1158</v>
      </c>
      <c r="L3" s="3" t="s">
        <v>1159</v>
      </c>
    </row>
    <row r="4" spans="1:12" x14ac:dyDescent="0.25">
      <c r="A4" t="s">
        <v>1275</v>
      </c>
      <c r="B4">
        <v>92.5</v>
      </c>
      <c r="C4">
        <v>19.899999999999999</v>
      </c>
      <c r="D4">
        <v>14.4</v>
      </c>
      <c r="E4">
        <v>11</v>
      </c>
      <c r="F4">
        <v>79.099999999999994</v>
      </c>
      <c r="G4">
        <v>12.7</v>
      </c>
      <c r="H4">
        <v>11.7</v>
      </c>
      <c r="K4">
        <v>19.899999999999999</v>
      </c>
      <c r="L4" t="s">
        <v>1276</v>
      </c>
    </row>
    <row r="5" spans="1:12" x14ac:dyDescent="0.25">
      <c r="A5" t="s">
        <v>1277</v>
      </c>
      <c r="B5">
        <v>89.8</v>
      </c>
      <c r="C5">
        <v>18.100000000000001</v>
      </c>
      <c r="G5">
        <v>10.9</v>
      </c>
      <c r="K5">
        <v>39.299999999999997</v>
      </c>
      <c r="L5" t="s">
        <v>1278</v>
      </c>
    </row>
    <row r="7" spans="1:12" x14ac:dyDescent="0.25">
      <c r="A7" s="5" t="s">
        <v>1168</v>
      </c>
      <c r="B7">
        <f>AVERAGE(B4,B5)</f>
        <v>91.15</v>
      </c>
      <c r="C7">
        <f>AVERAGE(C4,C5)</f>
        <v>19</v>
      </c>
      <c r="D7">
        <f>AVERAGE(D4,D5)</f>
        <v>14.4</v>
      </c>
      <c r="E7">
        <f t="shared" ref="E7:K7" si="0">AVERAGE(E4,E5)</f>
        <v>11</v>
      </c>
      <c r="F7">
        <f t="shared" si="0"/>
        <v>79.099999999999994</v>
      </c>
      <c r="G7">
        <f t="shared" si="0"/>
        <v>11.8</v>
      </c>
      <c r="H7">
        <f t="shared" si="0"/>
        <v>11.7</v>
      </c>
      <c r="K7">
        <f t="shared" si="0"/>
        <v>29.599999999999998</v>
      </c>
    </row>
  </sheetData>
  <mergeCells count="2">
    <mergeCell ref="D2:F2"/>
    <mergeCell ref="G2:J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9626D-E1FB-364D-94E8-3FDA9FC63625}">
  <dimension ref="A1:L8"/>
  <sheetViews>
    <sheetView workbookViewId="0">
      <selection activeCell="L4" sqref="L4"/>
    </sheetView>
  </sheetViews>
  <sheetFormatPr defaultColWidth="11.42578125" defaultRowHeight="15" x14ac:dyDescent="0.25"/>
  <cols>
    <col min="1" max="1" width="45.28515625" customWidth="1"/>
  </cols>
  <sheetData>
    <row r="1" spans="1:12" ht="18.75" x14ac:dyDescent="0.25">
      <c r="A1" s="2"/>
      <c r="B1" s="2"/>
    </row>
    <row r="2" spans="1:12" ht="18.75" x14ac:dyDescent="0.25">
      <c r="A2" s="2" t="s">
        <v>1279</v>
      </c>
      <c r="B2" s="2"/>
      <c r="D2" s="82" t="s">
        <v>1146</v>
      </c>
      <c r="E2" s="82"/>
      <c r="F2" s="82"/>
      <c r="G2" s="82" t="s">
        <v>1147</v>
      </c>
      <c r="H2" s="82"/>
      <c r="I2" s="82"/>
      <c r="J2" s="82"/>
      <c r="K2" s="8"/>
    </row>
    <row r="3" spans="1:12" x14ac:dyDescent="0.25">
      <c r="A3" s="3" t="s">
        <v>1148</v>
      </c>
      <c r="B3" s="3" t="s">
        <v>1149</v>
      </c>
      <c r="C3" s="3" t="s">
        <v>1150</v>
      </c>
      <c r="D3" s="3" t="s">
        <v>1151</v>
      </c>
      <c r="E3" s="3" t="s">
        <v>1152</v>
      </c>
      <c r="F3" s="3" t="s">
        <v>1153</v>
      </c>
      <c r="G3" s="3" t="s">
        <v>1154</v>
      </c>
      <c r="H3" s="3" t="s">
        <v>1155</v>
      </c>
      <c r="I3" s="3" t="s">
        <v>1156</v>
      </c>
      <c r="J3" s="3" t="s">
        <v>1157</v>
      </c>
      <c r="K3" s="3" t="s">
        <v>1158</v>
      </c>
      <c r="L3" s="3" t="s">
        <v>1159</v>
      </c>
    </row>
    <row r="4" spans="1:12" x14ac:dyDescent="0.25">
      <c r="A4" t="s">
        <v>1280</v>
      </c>
      <c r="B4">
        <v>16.100000000000001</v>
      </c>
      <c r="C4">
        <v>18.3</v>
      </c>
      <c r="D4">
        <v>17.3</v>
      </c>
      <c r="E4">
        <v>14.6</v>
      </c>
      <c r="F4">
        <v>76.8</v>
      </c>
      <c r="G4">
        <v>14.9</v>
      </c>
      <c r="J4">
        <v>74.2</v>
      </c>
      <c r="K4">
        <v>6.8</v>
      </c>
      <c r="L4" s="4" t="s">
        <v>1281</v>
      </c>
    </row>
    <row r="5" spans="1:12" x14ac:dyDescent="0.25">
      <c r="A5" t="s">
        <v>1282</v>
      </c>
      <c r="B5">
        <v>19.600000000000001</v>
      </c>
      <c r="C5">
        <v>18.100000000000001</v>
      </c>
      <c r="D5">
        <v>15.1</v>
      </c>
      <c r="E5">
        <v>12.6</v>
      </c>
      <c r="F5">
        <v>67.7</v>
      </c>
      <c r="G5">
        <v>12.9</v>
      </c>
      <c r="J5">
        <v>61.1</v>
      </c>
      <c r="K5">
        <v>7.7</v>
      </c>
      <c r="L5" s="4" t="s">
        <v>1283</v>
      </c>
    </row>
    <row r="6" spans="1:12" x14ac:dyDescent="0.25">
      <c r="L6" s="4"/>
    </row>
    <row r="8" spans="1:12" x14ac:dyDescent="0.25">
      <c r="A8" s="5" t="s">
        <v>1168</v>
      </c>
      <c r="B8" s="5">
        <f t="shared" ref="B8:G8" si="0">AVERAGE(B4,B5)</f>
        <v>17.850000000000001</v>
      </c>
      <c r="C8" s="6">
        <f t="shared" si="0"/>
        <v>18.200000000000003</v>
      </c>
      <c r="D8" s="6">
        <f t="shared" si="0"/>
        <v>16.2</v>
      </c>
      <c r="E8" s="6">
        <f t="shared" si="0"/>
        <v>13.6</v>
      </c>
      <c r="F8" s="6">
        <f t="shared" si="0"/>
        <v>72.25</v>
      </c>
      <c r="G8" s="6">
        <f t="shared" si="0"/>
        <v>13.9</v>
      </c>
      <c r="H8" s="6"/>
      <c r="I8" s="6"/>
      <c r="J8" s="6">
        <f>AVERAGE(J4,J5)</f>
        <v>67.650000000000006</v>
      </c>
      <c r="K8" s="6">
        <f>AVERAGE(K4,K5)</f>
        <v>7.25</v>
      </c>
    </row>
  </sheetData>
  <mergeCells count="2">
    <mergeCell ref="D2:F2"/>
    <mergeCell ref="G2:J2"/>
  </mergeCells>
  <hyperlinks>
    <hyperlink ref="L4" r:id="rId1" xr:uid="{7730E80F-AA56-C44B-9D6E-45B3F166E96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02952-DD05-7640-B659-67411DA2C04A}">
  <dimension ref="A1:L7"/>
  <sheetViews>
    <sheetView workbookViewId="0">
      <selection activeCell="K9" sqref="K9"/>
    </sheetView>
  </sheetViews>
  <sheetFormatPr defaultColWidth="11.42578125" defaultRowHeight="15" x14ac:dyDescent="0.25"/>
  <cols>
    <col min="1" max="1" width="45.28515625" customWidth="1"/>
  </cols>
  <sheetData>
    <row r="1" spans="1:12" ht="18.75" x14ac:dyDescent="0.25">
      <c r="A1" s="2"/>
      <c r="B1" s="2"/>
    </row>
    <row r="2" spans="1:12" ht="18.75" x14ac:dyDescent="0.25">
      <c r="A2" s="2" t="s">
        <v>1284</v>
      </c>
      <c r="B2" s="2"/>
      <c r="D2" s="82" t="s">
        <v>1146</v>
      </c>
      <c r="E2" s="82"/>
      <c r="F2" s="82"/>
      <c r="G2" s="82" t="s">
        <v>1147</v>
      </c>
      <c r="H2" s="82"/>
      <c r="I2" s="82"/>
      <c r="J2" s="82"/>
      <c r="K2" s="8"/>
    </row>
    <row r="3" spans="1:12" x14ac:dyDescent="0.25">
      <c r="A3" s="3" t="s">
        <v>1148</v>
      </c>
      <c r="B3" s="3" t="s">
        <v>1149</v>
      </c>
      <c r="C3" s="3" t="s">
        <v>1150</v>
      </c>
      <c r="D3" s="3" t="s">
        <v>1151</v>
      </c>
      <c r="E3" s="3" t="s">
        <v>1152</v>
      </c>
      <c r="F3" s="3" t="s">
        <v>1153</v>
      </c>
      <c r="G3" s="3" t="s">
        <v>1154</v>
      </c>
      <c r="H3" s="3" t="s">
        <v>1155</v>
      </c>
      <c r="I3" s="3" t="s">
        <v>1156</v>
      </c>
      <c r="J3" s="3" t="s">
        <v>1157</v>
      </c>
      <c r="K3" s="3" t="s">
        <v>1158</v>
      </c>
      <c r="L3" s="3" t="s">
        <v>1159</v>
      </c>
    </row>
    <row r="4" spans="1:12" x14ac:dyDescent="0.25">
      <c r="A4" t="s">
        <v>1285</v>
      </c>
      <c r="B4">
        <v>34.6</v>
      </c>
      <c r="C4">
        <v>18</v>
      </c>
      <c r="D4">
        <v>7.7</v>
      </c>
      <c r="E4">
        <v>6.3</v>
      </c>
      <c r="F4">
        <v>17.5</v>
      </c>
      <c r="K4">
        <v>10.4</v>
      </c>
      <c r="L4" s="4" t="s">
        <v>1286</v>
      </c>
    </row>
    <row r="5" spans="1:12" x14ac:dyDescent="0.25">
      <c r="A5" t="s">
        <v>1287</v>
      </c>
      <c r="B5">
        <v>56.3</v>
      </c>
      <c r="C5">
        <v>18.5</v>
      </c>
      <c r="D5">
        <v>6.3</v>
      </c>
      <c r="E5">
        <v>5.0999999999999996</v>
      </c>
      <c r="F5">
        <v>-1.7</v>
      </c>
      <c r="K5">
        <v>4.5999999999999996</v>
      </c>
      <c r="L5" s="4"/>
    </row>
    <row r="7" spans="1:12" x14ac:dyDescent="0.25">
      <c r="A7" s="5" t="s">
        <v>1168</v>
      </c>
      <c r="B7" s="5">
        <f>AVERAGE(B4,B5)</f>
        <v>45.45</v>
      </c>
      <c r="C7" s="6">
        <f>AVERAGE(C4,C5)</f>
        <v>18.25</v>
      </c>
      <c r="D7" s="6">
        <f>AVERAGE(D4,D5)</f>
        <v>7</v>
      </c>
      <c r="E7" s="6">
        <f>AVERAGE(E4,E5)</f>
        <v>5.6999999999999993</v>
      </c>
      <c r="F7" s="6">
        <f>AVERAGE(F4,F5)</f>
        <v>7.9</v>
      </c>
      <c r="G7" s="6"/>
      <c r="H7" s="6"/>
      <c r="I7" s="6"/>
      <c r="J7" s="6"/>
      <c r="K7" s="6">
        <f>AVERAGE(K4,K5)</f>
        <v>7.5</v>
      </c>
    </row>
  </sheetData>
  <mergeCells count="2">
    <mergeCell ref="D2:F2"/>
    <mergeCell ref="G2:J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2F48E-36D3-F040-AB1E-E49F6E2AE155}">
  <dimension ref="A1:K13"/>
  <sheetViews>
    <sheetView workbookViewId="0">
      <selection sqref="A1:K3"/>
    </sheetView>
  </sheetViews>
  <sheetFormatPr defaultColWidth="11.42578125" defaultRowHeight="15" x14ac:dyDescent="0.25"/>
  <cols>
    <col min="1" max="1" width="45.28515625" customWidth="1"/>
  </cols>
  <sheetData>
    <row r="1" spans="1:11" ht="18.75" x14ac:dyDescent="0.25">
      <c r="A1" s="2" t="s">
        <v>1288</v>
      </c>
      <c r="B1" s="2"/>
    </row>
    <row r="2" spans="1:11" ht="18.75" x14ac:dyDescent="0.25">
      <c r="A2" s="2"/>
      <c r="B2" s="2"/>
      <c r="D2" s="82" t="s">
        <v>1146</v>
      </c>
      <c r="E2" s="82"/>
      <c r="F2" s="82"/>
      <c r="G2" s="82" t="s">
        <v>1147</v>
      </c>
      <c r="H2" s="82"/>
      <c r="I2" s="82"/>
      <c r="J2" s="8"/>
    </row>
    <row r="3" spans="1:11" x14ac:dyDescent="0.25">
      <c r="A3" s="3" t="s">
        <v>1148</v>
      </c>
      <c r="B3" s="3" t="s">
        <v>1149</v>
      </c>
      <c r="C3" s="3" t="s">
        <v>1150</v>
      </c>
      <c r="D3" s="3" t="s">
        <v>1151</v>
      </c>
      <c r="E3" s="3" t="s">
        <v>1152</v>
      </c>
      <c r="F3" s="3" t="s">
        <v>1153</v>
      </c>
      <c r="G3" s="3" t="s">
        <v>1154</v>
      </c>
      <c r="H3" s="3" t="s">
        <v>1155</v>
      </c>
      <c r="I3" s="3" t="s">
        <v>1156</v>
      </c>
      <c r="J3" s="3" t="s">
        <v>1158</v>
      </c>
      <c r="K3" s="3" t="s">
        <v>1159</v>
      </c>
    </row>
    <row r="4" spans="1:11" x14ac:dyDescent="0.25">
      <c r="A4" t="s">
        <v>1289</v>
      </c>
      <c r="B4">
        <v>20.9</v>
      </c>
      <c r="C4">
        <v>18.399999999999999</v>
      </c>
      <c r="J4">
        <v>25.6</v>
      </c>
      <c r="K4" s="4" t="s">
        <v>1290</v>
      </c>
    </row>
    <row r="5" spans="1:11" x14ac:dyDescent="0.25">
      <c r="A5" t="s">
        <v>1291</v>
      </c>
      <c r="B5">
        <v>92.5</v>
      </c>
      <c r="C5">
        <v>17.8</v>
      </c>
      <c r="J5">
        <v>23.5</v>
      </c>
      <c r="K5" s="4" t="s">
        <v>1292</v>
      </c>
    </row>
    <row r="6" spans="1:11" x14ac:dyDescent="0.25">
      <c r="A6" t="s">
        <v>1293</v>
      </c>
      <c r="B6">
        <v>9.3000000000000007</v>
      </c>
      <c r="C6">
        <v>17.399999999999999</v>
      </c>
      <c r="G6">
        <v>13.8</v>
      </c>
      <c r="J6">
        <v>9</v>
      </c>
      <c r="K6" s="4" t="s">
        <v>1294</v>
      </c>
    </row>
    <row r="7" spans="1:11" x14ac:dyDescent="0.25">
      <c r="A7" t="s">
        <v>1295</v>
      </c>
      <c r="B7">
        <v>92.2</v>
      </c>
      <c r="C7">
        <v>17</v>
      </c>
      <c r="G7">
        <v>8.1999999999999993</v>
      </c>
      <c r="J7">
        <v>18.2</v>
      </c>
      <c r="K7" t="s">
        <v>1296</v>
      </c>
    </row>
    <row r="8" spans="1:11" x14ac:dyDescent="0.25">
      <c r="A8" t="s">
        <v>1297</v>
      </c>
      <c r="B8">
        <v>8.1999999999999993</v>
      </c>
      <c r="C8">
        <v>17.100000000000001</v>
      </c>
      <c r="G8">
        <v>12.2</v>
      </c>
      <c r="J8">
        <v>11.3</v>
      </c>
      <c r="K8" s="4" t="s">
        <v>1298</v>
      </c>
    </row>
    <row r="13" spans="1:11" x14ac:dyDescent="0.25">
      <c r="A13" s="5" t="s">
        <v>1168</v>
      </c>
      <c r="B13" s="5">
        <f>AVERAGE(B4,B5,B6,B7,B8)</f>
        <v>44.62</v>
      </c>
      <c r="C13" s="6">
        <f>AVERAGE(C4,C5,C6,C7,C8)</f>
        <v>17.54</v>
      </c>
      <c r="D13" s="6"/>
      <c r="E13" s="6"/>
      <c r="F13" s="6"/>
      <c r="G13" s="6">
        <f>AVERAGE(G6,G7,G8)</f>
        <v>11.4</v>
      </c>
      <c r="H13" s="6"/>
      <c r="I13" s="6"/>
      <c r="J13" s="6">
        <f>AVERAGE(J4,J5,J6,J7,J8)</f>
        <v>17.52</v>
      </c>
    </row>
  </sheetData>
  <mergeCells count="2">
    <mergeCell ref="D2:F2"/>
    <mergeCell ref="G2:I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887CF-7CBA-7746-A45B-FF04F68FF472}">
  <dimension ref="A1:K8"/>
  <sheetViews>
    <sheetView workbookViewId="0">
      <selection sqref="A1:K3"/>
    </sheetView>
  </sheetViews>
  <sheetFormatPr defaultColWidth="11.42578125" defaultRowHeight="15" x14ac:dyDescent="0.25"/>
  <cols>
    <col min="1" max="1" width="31.42578125" customWidth="1"/>
  </cols>
  <sheetData>
    <row r="1" spans="1:11" ht="18.75" x14ac:dyDescent="0.25">
      <c r="A1" s="2" t="s">
        <v>1299</v>
      </c>
      <c r="B1" s="2"/>
    </row>
    <row r="2" spans="1:11" ht="18.75" x14ac:dyDescent="0.25">
      <c r="A2" s="2"/>
      <c r="B2" s="2"/>
      <c r="D2" s="82" t="s">
        <v>1146</v>
      </c>
      <c r="E2" s="82"/>
      <c r="F2" s="82"/>
      <c r="G2" s="82" t="s">
        <v>1147</v>
      </c>
      <c r="H2" s="82"/>
      <c r="I2" s="82"/>
      <c r="J2" s="8"/>
    </row>
    <row r="3" spans="1:11" x14ac:dyDescent="0.25">
      <c r="A3" s="3" t="s">
        <v>1148</v>
      </c>
      <c r="B3" s="3" t="s">
        <v>1149</v>
      </c>
      <c r="C3" s="3" t="s">
        <v>1150</v>
      </c>
      <c r="D3" s="3" t="s">
        <v>1151</v>
      </c>
      <c r="E3" s="3" t="s">
        <v>1152</v>
      </c>
      <c r="F3" s="3" t="s">
        <v>1153</v>
      </c>
      <c r="G3" s="3" t="s">
        <v>1154</v>
      </c>
      <c r="H3" s="3" t="s">
        <v>1155</v>
      </c>
      <c r="I3" s="3" t="s">
        <v>1156</v>
      </c>
      <c r="J3" s="3" t="s">
        <v>1158</v>
      </c>
      <c r="K3" s="3" t="s">
        <v>1159</v>
      </c>
    </row>
    <row r="4" spans="1:11" x14ac:dyDescent="0.25">
      <c r="A4" t="s">
        <v>1300</v>
      </c>
      <c r="B4" s="18">
        <v>77.099999999999994</v>
      </c>
      <c r="C4">
        <v>19.2</v>
      </c>
      <c r="E4">
        <v>7.2</v>
      </c>
      <c r="F4">
        <v>16.8</v>
      </c>
      <c r="J4">
        <v>12.2</v>
      </c>
      <c r="K4" t="s">
        <v>1301</v>
      </c>
    </row>
    <row r="5" spans="1:11" x14ac:dyDescent="0.25">
      <c r="A5" t="s">
        <v>1302</v>
      </c>
      <c r="B5">
        <v>89.8</v>
      </c>
      <c r="C5">
        <v>18.5</v>
      </c>
      <c r="D5">
        <v>5.5</v>
      </c>
      <c r="E5">
        <v>4.5</v>
      </c>
      <c r="F5">
        <v>22.2</v>
      </c>
      <c r="J5">
        <v>7.8</v>
      </c>
      <c r="K5" t="s">
        <v>1303</v>
      </c>
    </row>
    <row r="6" spans="1:11" x14ac:dyDescent="0.25">
      <c r="A6" t="s">
        <v>1304</v>
      </c>
      <c r="B6">
        <v>50.1</v>
      </c>
      <c r="C6">
        <v>18.3</v>
      </c>
      <c r="D6">
        <v>9.8000000000000007</v>
      </c>
      <c r="E6">
        <v>8.1</v>
      </c>
      <c r="F6">
        <v>44.3</v>
      </c>
      <c r="J6">
        <v>9.8000000000000007</v>
      </c>
      <c r="K6" t="s">
        <v>1305</v>
      </c>
    </row>
    <row r="8" spans="1:11" x14ac:dyDescent="0.25">
      <c r="A8" s="5" t="s">
        <v>1168</v>
      </c>
      <c r="B8">
        <f>AVERAGE(B4,B5,B6)</f>
        <v>72.333333333333329</v>
      </c>
      <c r="C8">
        <f>AVERAGE(C4,C5,C6)</f>
        <v>18.666666666666668</v>
      </c>
      <c r="D8">
        <f>AVERAGE(D4,D5,D6)</f>
        <v>7.65</v>
      </c>
      <c r="E8">
        <f>AVERAGE(E4,E5,E6)</f>
        <v>6.5999999999999988</v>
      </c>
      <c r="F8">
        <f>AVERAGE(F4,F5,F6)</f>
        <v>27.766666666666666</v>
      </c>
      <c r="J8">
        <f>AVERAGE(J4,J5,J6)</f>
        <v>9.9333333333333336</v>
      </c>
    </row>
  </sheetData>
  <mergeCells count="2">
    <mergeCell ref="D2:F2"/>
    <mergeCell ref="G2:I2"/>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9FA66-6233-8E43-9409-8EC80342BB54}">
  <dimension ref="A1:K9"/>
  <sheetViews>
    <sheetView workbookViewId="0">
      <selection sqref="A1:K3"/>
    </sheetView>
  </sheetViews>
  <sheetFormatPr defaultColWidth="11.42578125" defaultRowHeight="15" x14ac:dyDescent="0.25"/>
  <cols>
    <col min="1" max="1" width="30.85546875" customWidth="1"/>
  </cols>
  <sheetData>
    <row r="1" spans="1:11" ht="18.75" x14ac:dyDescent="0.25">
      <c r="A1" s="2" t="s">
        <v>1306</v>
      </c>
      <c r="B1" s="2"/>
    </row>
    <row r="2" spans="1:11" ht="18.75" x14ac:dyDescent="0.25">
      <c r="A2" s="2"/>
      <c r="B2" s="2"/>
      <c r="D2" s="82" t="s">
        <v>1146</v>
      </c>
      <c r="E2" s="82"/>
      <c r="F2" s="82"/>
      <c r="G2" s="82" t="s">
        <v>1147</v>
      </c>
      <c r="H2" s="82"/>
      <c r="I2" s="82"/>
      <c r="J2" s="8"/>
    </row>
    <row r="3" spans="1:11" x14ac:dyDescent="0.25">
      <c r="A3" s="3" t="s">
        <v>1148</v>
      </c>
      <c r="B3" s="3" t="s">
        <v>1149</v>
      </c>
      <c r="C3" s="3" t="s">
        <v>1150</v>
      </c>
      <c r="D3" s="3" t="s">
        <v>1151</v>
      </c>
      <c r="E3" s="3" t="s">
        <v>1152</v>
      </c>
      <c r="F3" s="3" t="s">
        <v>1153</v>
      </c>
      <c r="G3" s="3" t="s">
        <v>1154</v>
      </c>
      <c r="H3" s="3" t="s">
        <v>1155</v>
      </c>
      <c r="I3" s="3" t="s">
        <v>1156</v>
      </c>
      <c r="J3" s="3" t="s">
        <v>1158</v>
      </c>
      <c r="K3" s="3" t="s">
        <v>1159</v>
      </c>
    </row>
    <row r="4" spans="1:11" x14ac:dyDescent="0.25">
      <c r="A4" t="s">
        <v>1307</v>
      </c>
      <c r="B4">
        <v>87.7</v>
      </c>
      <c r="C4">
        <v>20.8</v>
      </c>
      <c r="D4">
        <v>5.0999999999999996</v>
      </c>
      <c r="E4">
        <v>4.0999999999999996</v>
      </c>
      <c r="F4">
        <v>8.5</v>
      </c>
      <c r="G4">
        <v>6.3</v>
      </c>
      <c r="J4">
        <v>7.8</v>
      </c>
      <c r="K4" t="s">
        <v>1308</v>
      </c>
    </row>
    <row r="5" spans="1:11" x14ac:dyDescent="0.25">
      <c r="A5" t="s">
        <v>1309</v>
      </c>
      <c r="B5">
        <v>87.5</v>
      </c>
      <c r="C5">
        <v>20.6</v>
      </c>
      <c r="D5">
        <v>7.7</v>
      </c>
      <c r="E5">
        <v>6.2</v>
      </c>
      <c r="G5">
        <v>9.1999999999999993</v>
      </c>
      <c r="J5">
        <v>9.5</v>
      </c>
      <c r="K5" t="s">
        <v>1310</v>
      </c>
    </row>
    <row r="6" spans="1:11" x14ac:dyDescent="0.25">
      <c r="A6" t="s">
        <v>1311</v>
      </c>
      <c r="B6">
        <v>88.4</v>
      </c>
      <c r="C6">
        <v>18.600000000000001</v>
      </c>
      <c r="D6">
        <v>4.4000000000000004</v>
      </c>
      <c r="E6">
        <v>3.5</v>
      </c>
      <c r="F6">
        <v>24</v>
      </c>
      <c r="G6">
        <v>5.8</v>
      </c>
      <c r="J6">
        <v>12.7</v>
      </c>
      <c r="K6" t="s">
        <v>1312</v>
      </c>
    </row>
    <row r="7" spans="1:11" x14ac:dyDescent="0.25">
      <c r="A7" t="s">
        <v>1313</v>
      </c>
      <c r="B7">
        <v>82.8</v>
      </c>
      <c r="C7">
        <v>18.8</v>
      </c>
      <c r="D7">
        <v>7.6</v>
      </c>
      <c r="E7">
        <v>6.2</v>
      </c>
      <c r="G7">
        <v>9.1</v>
      </c>
      <c r="J7">
        <v>11</v>
      </c>
      <c r="K7" t="s">
        <v>1314</v>
      </c>
    </row>
    <row r="9" spans="1:11" x14ac:dyDescent="0.25">
      <c r="A9" s="5" t="s">
        <v>1168</v>
      </c>
      <c r="B9">
        <f>AVERAGE(B4,B5,B6,B7)</f>
        <v>86.600000000000009</v>
      </c>
      <c r="C9">
        <f>AVERAGE(C4,C5,C6,C7)</f>
        <v>19.700000000000003</v>
      </c>
      <c r="D9">
        <f>AVERAGE(D4,D5,D6,D7)</f>
        <v>6.2000000000000011</v>
      </c>
      <c r="E9">
        <f t="shared" ref="E9:J9" si="0">AVERAGE(E4,E5,E6,E7)</f>
        <v>5</v>
      </c>
      <c r="F9">
        <f t="shared" si="0"/>
        <v>16.25</v>
      </c>
      <c r="G9">
        <f t="shared" si="0"/>
        <v>7.6</v>
      </c>
      <c r="J9">
        <f t="shared" si="0"/>
        <v>10.25</v>
      </c>
    </row>
  </sheetData>
  <mergeCells count="2">
    <mergeCell ref="D2:F2"/>
    <mergeCell ref="G2:I2"/>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E842C-296B-F848-BCFE-E692D96A6404}">
  <dimension ref="A1:K9"/>
  <sheetViews>
    <sheetView workbookViewId="0">
      <selection sqref="A1:K3"/>
    </sheetView>
  </sheetViews>
  <sheetFormatPr defaultColWidth="11.42578125" defaultRowHeight="15" x14ac:dyDescent="0.25"/>
  <cols>
    <col min="1" max="1" width="69.28515625" customWidth="1"/>
  </cols>
  <sheetData>
    <row r="1" spans="1:11" ht="18.75" x14ac:dyDescent="0.25">
      <c r="A1" s="2" t="s">
        <v>1315</v>
      </c>
      <c r="B1" s="2"/>
    </row>
    <row r="2" spans="1:11" ht="18.75" x14ac:dyDescent="0.25">
      <c r="A2" s="2"/>
      <c r="B2" s="2"/>
      <c r="D2" s="82" t="s">
        <v>1146</v>
      </c>
      <c r="E2" s="82"/>
      <c r="F2" s="82"/>
      <c r="G2" s="82" t="s">
        <v>1147</v>
      </c>
      <c r="H2" s="82"/>
      <c r="I2" s="82"/>
      <c r="J2" s="8"/>
    </row>
    <row r="3" spans="1:11" x14ac:dyDescent="0.25">
      <c r="A3" s="3" t="s">
        <v>1148</v>
      </c>
      <c r="B3" s="3" t="s">
        <v>1149</v>
      </c>
      <c r="C3" s="3" t="s">
        <v>1150</v>
      </c>
      <c r="D3" s="3" t="s">
        <v>1151</v>
      </c>
      <c r="E3" s="3" t="s">
        <v>1152</v>
      </c>
      <c r="F3" s="3" t="s">
        <v>1153</v>
      </c>
      <c r="G3" s="3" t="s">
        <v>1154</v>
      </c>
      <c r="H3" s="3" t="s">
        <v>1155</v>
      </c>
      <c r="I3" s="3" t="s">
        <v>1156</v>
      </c>
      <c r="J3" s="3" t="s">
        <v>1158</v>
      </c>
      <c r="K3" s="3" t="s">
        <v>1159</v>
      </c>
    </row>
    <row r="4" spans="1:11" x14ac:dyDescent="0.25">
      <c r="A4" t="s">
        <v>1316</v>
      </c>
      <c r="B4">
        <v>92.2</v>
      </c>
      <c r="C4">
        <v>20.2</v>
      </c>
      <c r="G4">
        <v>8</v>
      </c>
      <c r="J4">
        <v>21.9</v>
      </c>
      <c r="K4" t="s">
        <v>1317</v>
      </c>
    </row>
    <row r="5" spans="1:11" x14ac:dyDescent="0.25">
      <c r="A5" t="s">
        <v>1318</v>
      </c>
      <c r="B5">
        <v>91.6</v>
      </c>
      <c r="C5">
        <v>19.100000000000001</v>
      </c>
      <c r="G5">
        <v>8.3000000000000007</v>
      </c>
      <c r="J5">
        <v>18.7</v>
      </c>
      <c r="K5" t="s">
        <v>1319</v>
      </c>
    </row>
    <row r="6" spans="1:11" x14ac:dyDescent="0.25">
      <c r="A6" t="s">
        <v>1320</v>
      </c>
      <c r="B6">
        <v>91.5</v>
      </c>
      <c r="C6">
        <v>19.899999999999999</v>
      </c>
      <c r="D6">
        <f>0.68*C6</f>
        <v>13.532</v>
      </c>
      <c r="E6">
        <v>11.5</v>
      </c>
      <c r="F6">
        <v>85</v>
      </c>
      <c r="G6">
        <v>12.8</v>
      </c>
      <c r="J6">
        <v>25.1</v>
      </c>
      <c r="K6" t="s">
        <v>1321</v>
      </c>
    </row>
    <row r="7" spans="1:11" x14ac:dyDescent="0.25">
      <c r="A7" t="s">
        <v>1322</v>
      </c>
      <c r="B7">
        <v>91.4</v>
      </c>
      <c r="C7">
        <v>18.600000000000001</v>
      </c>
      <c r="G7">
        <v>11.5</v>
      </c>
      <c r="J7">
        <v>24.1</v>
      </c>
      <c r="K7" t="s">
        <v>1323</v>
      </c>
    </row>
    <row r="9" spans="1:11" x14ac:dyDescent="0.25">
      <c r="A9" s="5" t="s">
        <v>1168</v>
      </c>
      <c r="B9">
        <f>AVERAGE(B4,B5,B7,B6)</f>
        <v>91.675000000000011</v>
      </c>
      <c r="C9">
        <f t="shared" ref="C9:J9" si="0">AVERAGE(C4,C5,C7,C6)</f>
        <v>19.45</v>
      </c>
      <c r="D9">
        <f t="shared" si="0"/>
        <v>13.532</v>
      </c>
      <c r="E9">
        <f t="shared" si="0"/>
        <v>11.5</v>
      </c>
      <c r="F9">
        <f t="shared" si="0"/>
        <v>85</v>
      </c>
      <c r="G9">
        <f t="shared" si="0"/>
        <v>10.15</v>
      </c>
      <c r="J9">
        <f t="shared" si="0"/>
        <v>22.449999999999996</v>
      </c>
    </row>
  </sheetData>
  <mergeCells count="2">
    <mergeCell ref="D2:F2"/>
    <mergeCell ref="G2:I2"/>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729A4-A31B-DA46-87BA-AED68D6195A4}">
  <dimension ref="A1:M14"/>
  <sheetViews>
    <sheetView workbookViewId="0">
      <selection sqref="A1:K3"/>
    </sheetView>
  </sheetViews>
  <sheetFormatPr defaultColWidth="11.42578125" defaultRowHeight="15" x14ac:dyDescent="0.25"/>
  <cols>
    <col min="1" max="1" width="35.7109375" customWidth="1"/>
  </cols>
  <sheetData>
    <row r="1" spans="1:13" ht="18.75" x14ac:dyDescent="0.25">
      <c r="A1" s="2" t="s">
        <v>1324</v>
      </c>
      <c r="B1" s="2"/>
    </row>
    <row r="2" spans="1:13" ht="18.75" x14ac:dyDescent="0.25">
      <c r="A2" s="2"/>
      <c r="B2" s="2"/>
      <c r="D2" s="82" t="s">
        <v>1146</v>
      </c>
      <c r="E2" s="82"/>
      <c r="F2" s="82"/>
      <c r="G2" s="82" t="s">
        <v>1147</v>
      </c>
      <c r="H2" s="82"/>
      <c r="I2" s="82"/>
      <c r="J2" s="8"/>
    </row>
    <row r="3" spans="1:13" x14ac:dyDescent="0.25">
      <c r="A3" s="3" t="s">
        <v>1148</v>
      </c>
      <c r="B3" s="3" t="s">
        <v>1149</v>
      </c>
      <c r="C3" s="3" t="s">
        <v>1150</v>
      </c>
      <c r="D3" s="3" t="s">
        <v>1151</v>
      </c>
      <c r="E3" s="3" t="s">
        <v>1152</v>
      </c>
      <c r="F3" s="3" t="s">
        <v>1153</v>
      </c>
      <c r="G3" s="3" t="s">
        <v>1154</v>
      </c>
      <c r="H3" s="3" t="s">
        <v>1155</v>
      </c>
      <c r="I3" s="3" t="s">
        <v>1156</v>
      </c>
      <c r="J3" s="3" t="s">
        <v>1158</v>
      </c>
      <c r="K3" s="3" t="s">
        <v>1159</v>
      </c>
    </row>
    <row r="4" spans="1:13" x14ac:dyDescent="0.25">
      <c r="A4" t="s">
        <v>1325</v>
      </c>
      <c r="B4">
        <v>26.2</v>
      </c>
      <c r="C4">
        <v>17.100000000000001</v>
      </c>
      <c r="G4">
        <v>14.8</v>
      </c>
      <c r="J4">
        <v>5.9</v>
      </c>
      <c r="K4" t="s">
        <v>1326</v>
      </c>
    </row>
    <row r="5" spans="1:13" x14ac:dyDescent="0.25">
      <c r="A5" t="s">
        <v>1327</v>
      </c>
      <c r="B5">
        <v>18.600000000000001</v>
      </c>
      <c r="C5">
        <v>17.3</v>
      </c>
      <c r="G5">
        <v>14.7</v>
      </c>
      <c r="J5">
        <v>8.6999999999999993</v>
      </c>
      <c r="K5" t="s">
        <v>1328</v>
      </c>
    </row>
    <row r="6" spans="1:13" x14ac:dyDescent="0.25">
      <c r="A6" t="s">
        <v>1329</v>
      </c>
      <c r="B6">
        <v>16.600000000000001</v>
      </c>
      <c r="C6">
        <v>17.3</v>
      </c>
      <c r="G6">
        <v>14.9</v>
      </c>
      <c r="J6">
        <v>6.2</v>
      </c>
      <c r="K6" t="s">
        <v>1330</v>
      </c>
    </row>
    <row r="7" spans="1:13" x14ac:dyDescent="0.25">
      <c r="A7" t="s">
        <v>1331</v>
      </c>
      <c r="B7">
        <v>29.8</v>
      </c>
      <c r="C7">
        <v>17.2</v>
      </c>
      <c r="G7">
        <v>14.8</v>
      </c>
      <c r="J7">
        <v>8.9</v>
      </c>
      <c r="K7" t="s">
        <v>1332</v>
      </c>
    </row>
    <row r="9" spans="1:13" x14ac:dyDescent="0.25">
      <c r="A9" s="5" t="s">
        <v>1168</v>
      </c>
      <c r="B9">
        <f>AVERAGE(B4,B5,B6,B7)</f>
        <v>22.8</v>
      </c>
      <c r="C9">
        <f>AVERAGE(C4,C5,C6,C7)</f>
        <v>17.225000000000001</v>
      </c>
      <c r="G9">
        <f>AVERAGE(G4,G5,G6,G7)</f>
        <v>14.8</v>
      </c>
      <c r="J9">
        <f>AVERAGE(J4,J5,J6,J7)</f>
        <v>7.4250000000000007</v>
      </c>
    </row>
    <row r="14" spans="1:13" ht="16.5" x14ac:dyDescent="0.25">
      <c r="M14" s="19"/>
    </row>
  </sheetData>
  <mergeCells count="2">
    <mergeCell ref="D2:F2"/>
    <mergeCell ref="G2:I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9E500-FB2C-1B41-BE8D-FFF2DE7BCA5D}">
  <dimension ref="A1:K8"/>
  <sheetViews>
    <sheetView workbookViewId="0">
      <selection sqref="A1:K3"/>
    </sheetView>
  </sheetViews>
  <sheetFormatPr defaultColWidth="11.42578125" defaultRowHeight="15" x14ac:dyDescent="0.25"/>
  <cols>
    <col min="1" max="1" width="31.28515625" customWidth="1"/>
  </cols>
  <sheetData>
    <row r="1" spans="1:11" ht="18.75" x14ac:dyDescent="0.25">
      <c r="A1" s="2" t="s">
        <v>1333</v>
      </c>
      <c r="B1" s="2"/>
    </row>
    <row r="2" spans="1:11" ht="18.75" x14ac:dyDescent="0.25">
      <c r="A2" s="2"/>
      <c r="B2" s="2"/>
      <c r="D2" s="82" t="s">
        <v>1146</v>
      </c>
      <c r="E2" s="82"/>
      <c r="F2" s="82"/>
      <c r="G2" s="82" t="s">
        <v>1147</v>
      </c>
      <c r="H2" s="82"/>
      <c r="I2" s="82"/>
      <c r="J2" s="8"/>
    </row>
    <row r="3" spans="1:11" x14ac:dyDescent="0.25">
      <c r="A3" s="3" t="s">
        <v>1148</v>
      </c>
      <c r="B3" s="3" t="s">
        <v>1149</v>
      </c>
      <c r="C3" s="3" t="s">
        <v>1150</v>
      </c>
      <c r="D3" s="3" t="s">
        <v>1151</v>
      </c>
      <c r="E3" s="3" t="s">
        <v>1152</v>
      </c>
      <c r="F3" s="3" t="s">
        <v>1153</v>
      </c>
      <c r="G3" s="3" t="s">
        <v>1154</v>
      </c>
      <c r="H3" s="3" t="s">
        <v>1155</v>
      </c>
      <c r="I3" s="3" t="s">
        <v>1156</v>
      </c>
      <c r="J3" s="3" t="s">
        <v>1158</v>
      </c>
      <c r="K3" s="3" t="s">
        <v>1159</v>
      </c>
    </row>
    <row r="4" spans="1:11" x14ac:dyDescent="0.25">
      <c r="A4" t="s">
        <v>1334</v>
      </c>
      <c r="B4">
        <v>28.6</v>
      </c>
      <c r="C4">
        <v>17.2</v>
      </c>
      <c r="G4">
        <v>14.8</v>
      </c>
      <c r="H4">
        <v>14.5</v>
      </c>
      <c r="J4">
        <v>5.4</v>
      </c>
      <c r="K4" t="s">
        <v>1335</v>
      </c>
    </row>
    <row r="5" spans="1:11" x14ac:dyDescent="0.25">
      <c r="A5" t="s">
        <v>1336</v>
      </c>
      <c r="B5">
        <v>31.9</v>
      </c>
      <c r="C5">
        <v>17.2</v>
      </c>
      <c r="G5">
        <v>14.7</v>
      </c>
      <c r="J5">
        <v>6.9</v>
      </c>
      <c r="K5" t="s">
        <v>1337</v>
      </c>
    </row>
    <row r="6" spans="1:11" x14ac:dyDescent="0.25">
      <c r="A6" t="s">
        <v>1338</v>
      </c>
      <c r="B6">
        <v>89.5</v>
      </c>
      <c r="C6">
        <v>17.3</v>
      </c>
      <c r="D6">
        <v>14.1</v>
      </c>
      <c r="E6">
        <v>11.8</v>
      </c>
      <c r="F6">
        <v>62.7</v>
      </c>
      <c r="G6">
        <v>15</v>
      </c>
      <c r="I6">
        <f>AVERAGE(11.7,10.8)</f>
        <v>11.25</v>
      </c>
      <c r="J6">
        <v>8.1</v>
      </c>
      <c r="K6" t="s">
        <v>1339</v>
      </c>
    </row>
    <row r="8" spans="1:11" x14ac:dyDescent="0.25">
      <c r="A8" s="5" t="s">
        <v>1168</v>
      </c>
      <c r="B8">
        <f t="shared" ref="B8:J8" si="0">AVERAGE(B5,B4,B6)</f>
        <v>50</v>
      </c>
      <c r="C8">
        <f t="shared" si="0"/>
        <v>17.233333333333334</v>
      </c>
      <c r="D8">
        <f t="shared" si="0"/>
        <v>14.1</v>
      </c>
      <c r="E8">
        <f t="shared" si="0"/>
        <v>11.8</v>
      </c>
      <c r="F8">
        <f t="shared" si="0"/>
        <v>62.7</v>
      </c>
      <c r="G8">
        <f t="shared" si="0"/>
        <v>14.833333333333334</v>
      </c>
      <c r="H8">
        <f t="shared" si="0"/>
        <v>14.5</v>
      </c>
      <c r="I8">
        <f t="shared" si="0"/>
        <v>11.25</v>
      </c>
      <c r="J8">
        <f t="shared" si="0"/>
        <v>6.8</v>
      </c>
    </row>
  </sheetData>
  <mergeCells count="2">
    <mergeCell ref="D2:F2"/>
    <mergeCell ref="G2:I2"/>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1284E-662C-244B-A629-A45525B770C7}">
  <dimension ref="A1:K8"/>
  <sheetViews>
    <sheetView workbookViewId="0">
      <selection sqref="A1:K3"/>
    </sheetView>
  </sheetViews>
  <sheetFormatPr defaultColWidth="11.42578125" defaultRowHeight="15" x14ac:dyDescent="0.25"/>
  <cols>
    <col min="1" max="1" width="37.42578125" customWidth="1"/>
  </cols>
  <sheetData>
    <row r="1" spans="1:11" ht="18.75" x14ac:dyDescent="0.25">
      <c r="A1" s="2" t="s">
        <v>1333</v>
      </c>
      <c r="B1" s="2"/>
    </row>
    <row r="2" spans="1:11" ht="18.75" x14ac:dyDescent="0.25">
      <c r="A2" s="2"/>
      <c r="B2" s="2"/>
      <c r="D2" s="82" t="s">
        <v>1146</v>
      </c>
      <c r="E2" s="82"/>
      <c r="F2" s="82"/>
      <c r="G2" s="82" t="s">
        <v>1147</v>
      </c>
      <c r="H2" s="82"/>
      <c r="I2" s="82"/>
      <c r="J2" s="8"/>
    </row>
    <row r="3" spans="1:11" x14ac:dyDescent="0.25">
      <c r="A3" s="3" t="s">
        <v>1148</v>
      </c>
      <c r="B3" s="3" t="s">
        <v>1149</v>
      </c>
      <c r="C3" s="3" t="s">
        <v>1150</v>
      </c>
      <c r="D3" s="3" t="s">
        <v>1151</v>
      </c>
      <c r="E3" s="3" t="s">
        <v>1152</v>
      </c>
      <c r="F3" s="3" t="s">
        <v>1153</v>
      </c>
      <c r="G3" s="3" t="s">
        <v>1154</v>
      </c>
      <c r="H3" s="3" t="s">
        <v>1155</v>
      </c>
      <c r="I3" s="3" t="s">
        <v>1156</v>
      </c>
      <c r="J3" s="3" t="s">
        <v>1158</v>
      </c>
      <c r="K3" s="3" t="s">
        <v>1159</v>
      </c>
    </row>
    <row r="4" spans="1:11" x14ac:dyDescent="0.25">
      <c r="A4" t="s">
        <v>1340</v>
      </c>
      <c r="B4">
        <v>29.5</v>
      </c>
      <c r="C4">
        <v>17</v>
      </c>
      <c r="G4">
        <v>12.3</v>
      </c>
      <c r="J4">
        <v>8.1999999999999993</v>
      </c>
      <c r="K4" t="s">
        <v>1341</v>
      </c>
    </row>
    <row r="5" spans="1:11" x14ac:dyDescent="0.25">
      <c r="A5" t="s">
        <v>1342</v>
      </c>
      <c r="B5">
        <v>31</v>
      </c>
      <c r="C5">
        <v>17.100000000000001</v>
      </c>
      <c r="G5">
        <v>14.7</v>
      </c>
      <c r="J5">
        <v>6.8</v>
      </c>
      <c r="K5" t="s">
        <v>1343</v>
      </c>
    </row>
    <row r="6" spans="1:11" x14ac:dyDescent="0.25">
      <c r="A6" t="s">
        <v>1344</v>
      </c>
      <c r="B6">
        <v>24.1</v>
      </c>
      <c r="C6">
        <v>16.8</v>
      </c>
      <c r="G6">
        <v>14.8</v>
      </c>
      <c r="J6">
        <v>5.9</v>
      </c>
      <c r="K6" t="s">
        <v>1345</v>
      </c>
    </row>
    <row r="8" spans="1:11" x14ac:dyDescent="0.25">
      <c r="A8" s="5" t="s">
        <v>1168</v>
      </c>
      <c r="B8">
        <f>AVERAGE(B4,B5,B6)</f>
        <v>28.2</v>
      </c>
      <c r="C8">
        <f>AVERAGE(C4,C5,C6)</f>
        <v>16.966666666666669</v>
      </c>
      <c r="G8">
        <f>AVERAGE(G4,G5,G6)</f>
        <v>13.933333333333332</v>
      </c>
      <c r="J8">
        <f>AVERAGE(J4,J5,J6)</f>
        <v>6.9666666666666659</v>
      </c>
    </row>
  </sheetData>
  <mergeCells count="2">
    <mergeCell ref="D2:F2"/>
    <mergeCell ref="G2:I2"/>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8"/>
  <sheetViews>
    <sheetView workbookViewId="0">
      <selection activeCell="F10" sqref="F10"/>
    </sheetView>
  </sheetViews>
  <sheetFormatPr defaultColWidth="8.85546875" defaultRowHeight="15" x14ac:dyDescent="0.25"/>
  <cols>
    <col min="1" max="1" width="23.42578125" bestFit="1" customWidth="1"/>
    <col min="2" max="2" width="23.42578125" customWidth="1"/>
    <col min="3" max="4" width="9.7109375" bestFit="1" customWidth="1"/>
    <col min="5" max="5" width="10.140625" bestFit="1" customWidth="1"/>
    <col min="6" max="6" width="10.140625" customWidth="1"/>
    <col min="7" max="7" width="6.28515625" bestFit="1" customWidth="1"/>
    <col min="8" max="8" width="14.85546875" bestFit="1" customWidth="1"/>
    <col min="9" max="9" width="17.7109375" bestFit="1" customWidth="1"/>
    <col min="10" max="10" width="17.7109375" customWidth="1"/>
    <col min="11" max="11" width="9" bestFit="1" customWidth="1"/>
    <col min="12" max="12" width="35.28515625" bestFit="1" customWidth="1"/>
  </cols>
  <sheetData>
    <row r="1" spans="1:12" ht="18.75" x14ac:dyDescent="0.25">
      <c r="A1" s="2" t="s">
        <v>1346</v>
      </c>
      <c r="B1" s="2"/>
    </row>
    <row r="2" spans="1:12" ht="18.75" x14ac:dyDescent="0.25">
      <c r="A2" s="2"/>
      <c r="B2" s="2"/>
      <c r="D2" s="82" t="s">
        <v>1146</v>
      </c>
      <c r="E2" s="82"/>
      <c r="F2" s="8"/>
      <c r="G2" s="82" t="s">
        <v>1147</v>
      </c>
      <c r="H2" s="82"/>
      <c r="I2" s="82"/>
      <c r="J2" s="8"/>
      <c r="K2" s="8"/>
    </row>
    <row r="3" spans="1:12" x14ac:dyDescent="0.25">
      <c r="A3" s="3" t="s">
        <v>1148</v>
      </c>
      <c r="B3" s="3" t="s">
        <v>1149</v>
      </c>
      <c r="C3" s="3" t="s">
        <v>1150</v>
      </c>
      <c r="D3" s="3" t="s">
        <v>1151</v>
      </c>
      <c r="E3" s="3" t="s">
        <v>1152</v>
      </c>
      <c r="F3" s="3" t="s">
        <v>1153</v>
      </c>
      <c r="G3" s="3" t="s">
        <v>1347</v>
      </c>
      <c r="H3" s="3" t="s">
        <v>1155</v>
      </c>
      <c r="I3" s="3" t="s">
        <v>1156</v>
      </c>
      <c r="J3" s="3" t="s">
        <v>1153</v>
      </c>
      <c r="K3" s="3" t="s">
        <v>1158</v>
      </c>
      <c r="L3" s="3" t="s">
        <v>1159</v>
      </c>
    </row>
    <row r="4" spans="1:12" x14ac:dyDescent="0.25">
      <c r="A4" t="s">
        <v>1348</v>
      </c>
      <c r="B4">
        <v>90.2</v>
      </c>
      <c r="C4">
        <v>20.3</v>
      </c>
      <c r="D4" s="1">
        <f>C4*0.89</f>
        <v>18.067</v>
      </c>
      <c r="E4">
        <v>14.1</v>
      </c>
      <c r="F4">
        <v>80</v>
      </c>
      <c r="G4">
        <v>15.8</v>
      </c>
      <c r="H4">
        <v>14.7</v>
      </c>
      <c r="J4">
        <v>84</v>
      </c>
      <c r="K4">
        <v>33.700000000000003</v>
      </c>
      <c r="L4" s="4" t="s">
        <v>1349</v>
      </c>
    </row>
    <row r="5" spans="1:12" x14ac:dyDescent="0.25">
      <c r="A5" t="s">
        <v>1350</v>
      </c>
      <c r="B5">
        <v>88.1</v>
      </c>
      <c r="C5">
        <v>21.2</v>
      </c>
      <c r="D5" s="11">
        <f>C5*0.906</f>
        <v>19.2072</v>
      </c>
      <c r="E5">
        <v>14.8</v>
      </c>
      <c r="F5">
        <v>79.900000000000006</v>
      </c>
      <c r="G5">
        <v>17</v>
      </c>
      <c r="H5">
        <v>15.8</v>
      </c>
      <c r="I5">
        <f>AVERAGE(11.4,11.1)</f>
        <v>11.25</v>
      </c>
      <c r="J5">
        <v>82.8</v>
      </c>
      <c r="K5">
        <v>37.9</v>
      </c>
      <c r="L5" s="4" t="s">
        <v>1351</v>
      </c>
    </row>
    <row r="6" spans="1:12" x14ac:dyDescent="0.25">
      <c r="A6" t="s">
        <v>1352</v>
      </c>
      <c r="B6">
        <v>88.8</v>
      </c>
      <c r="C6">
        <v>20.5</v>
      </c>
      <c r="D6" s="1">
        <f>C6*0.89</f>
        <v>18.245000000000001</v>
      </c>
      <c r="E6">
        <v>13.9</v>
      </c>
      <c r="F6">
        <v>80</v>
      </c>
      <c r="G6">
        <v>15.6</v>
      </c>
      <c r="H6">
        <v>14.4</v>
      </c>
      <c r="J6">
        <v>83</v>
      </c>
      <c r="K6">
        <v>42.2</v>
      </c>
      <c r="L6" s="4" t="s">
        <v>1353</v>
      </c>
    </row>
    <row r="8" spans="1:12" x14ac:dyDescent="0.25">
      <c r="A8" s="5" t="s">
        <v>1168</v>
      </c>
      <c r="B8" s="6">
        <f t="shared" ref="B8:K8" si="0">AVERAGE(B4:B6)</f>
        <v>89.033333333333346</v>
      </c>
      <c r="C8" s="6">
        <f t="shared" si="0"/>
        <v>20.666666666666668</v>
      </c>
      <c r="D8" s="6">
        <f t="shared" si="0"/>
        <v>18.506399999999999</v>
      </c>
      <c r="E8" s="6">
        <f t="shared" si="0"/>
        <v>14.266666666666666</v>
      </c>
      <c r="F8" s="6">
        <f t="shared" si="0"/>
        <v>79.966666666666669</v>
      </c>
      <c r="G8" s="6">
        <f t="shared" si="0"/>
        <v>16.133333333333333</v>
      </c>
      <c r="H8" s="6">
        <f t="shared" si="0"/>
        <v>14.966666666666667</v>
      </c>
      <c r="I8" s="6">
        <f t="shared" si="0"/>
        <v>11.25</v>
      </c>
      <c r="J8" s="6">
        <f t="shared" si="0"/>
        <v>83.266666666666666</v>
      </c>
      <c r="K8" s="6">
        <f t="shared" si="0"/>
        <v>37.93333333333333</v>
      </c>
    </row>
  </sheetData>
  <mergeCells count="2">
    <mergeCell ref="D2:E2"/>
    <mergeCell ref="G2:I2"/>
  </mergeCells>
  <hyperlinks>
    <hyperlink ref="L4" r:id="rId1" xr:uid="{00000000-0004-0000-0600-000000000000}"/>
    <hyperlink ref="L5" r:id="rId2" xr:uid="{00000000-0004-0000-0600-000001000000}"/>
    <hyperlink ref="L6" r:id="rId3" xr:uid="{00000000-0004-0000-0600-000002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82929-6658-6946-8073-1FD407542173}">
  <dimension ref="A1:M11"/>
  <sheetViews>
    <sheetView workbookViewId="0">
      <selection activeCell="A9" sqref="A9"/>
    </sheetView>
  </sheetViews>
  <sheetFormatPr defaultColWidth="11.42578125" defaultRowHeight="15" x14ac:dyDescent="0.25"/>
  <cols>
    <col min="1" max="1" width="28.85546875" customWidth="1"/>
    <col min="12" max="12" width="35.7109375" customWidth="1"/>
  </cols>
  <sheetData>
    <row r="1" spans="1:13" ht="18.75" x14ac:dyDescent="0.25">
      <c r="A1" s="20" t="s">
        <v>1354</v>
      </c>
      <c r="B1" s="20"/>
      <c r="C1" s="16"/>
      <c r="D1" s="16"/>
      <c r="E1" s="16"/>
      <c r="F1" s="16"/>
      <c r="G1" s="16"/>
      <c r="H1" s="16"/>
      <c r="I1" s="16"/>
      <c r="J1" s="16"/>
      <c r="K1" s="16"/>
      <c r="L1" s="16"/>
    </row>
    <row r="2" spans="1:13" ht="18.75" x14ac:dyDescent="0.25">
      <c r="A2" s="20"/>
      <c r="B2" s="20"/>
      <c r="C2" s="16"/>
      <c r="D2" s="83" t="s">
        <v>1146</v>
      </c>
      <c r="E2" s="83"/>
      <c r="F2" s="83"/>
      <c r="G2" s="83" t="s">
        <v>1147</v>
      </c>
      <c r="H2" s="83"/>
      <c r="I2" s="83"/>
      <c r="J2" s="21"/>
      <c r="K2" s="21"/>
      <c r="L2" s="16"/>
    </row>
    <row r="3" spans="1:13" x14ac:dyDescent="0.25">
      <c r="A3" s="22" t="s">
        <v>1148</v>
      </c>
      <c r="B3" s="22" t="s">
        <v>1149</v>
      </c>
      <c r="C3" s="22" t="s">
        <v>1150</v>
      </c>
      <c r="D3" s="22" t="s">
        <v>1151</v>
      </c>
      <c r="E3" s="22" t="s">
        <v>1152</v>
      </c>
      <c r="F3" s="22" t="s">
        <v>1153</v>
      </c>
      <c r="G3" s="22" t="s">
        <v>1154</v>
      </c>
      <c r="H3" s="22" t="s">
        <v>1155</v>
      </c>
      <c r="I3" s="22" t="s">
        <v>1156</v>
      </c>
      <c r="J3" s="22" t="s">
        <v>1355</v>
      </c>
      <c r="K3" s="22" t="s">
        <v>1158</v>
      </c>
      <c r="L3" s="22" t="s">
        <v>1159</v>
      </c>
      <c r="M3" s="23" t="s">
        <v>1356</v>
      </c>
    </row>
    <row r="4" spans="1:13" x14ac:dyDescent="0.25">
      <c r="A4" t="s">
        <v>1357</v>
      </c>
      <c r="B4">
        <v>91</v>
      </c>
      <c r="C4">
        <v>18.5</v>
      </c>
      <c r="D4">
        <v>8.3000000000000007</v>
      </c>
      <c r="E4">
        <v>6.8</v>
      </c>
      <c r="F4">
        <v>3.5</v>
      </c>
      <c r="G4">
        <v>2.2999999999999998</v>
      </c>
      <c r="H4">
        <v>2</v>
      </c>
      <c r="I4">
        <v>2.1</v>
      </c>
      <c r="J4">
        <v>45.7</v>
      </c>
      <c r="K4">
        <v>4.2</v>
      </c>
      <c r="L4" t="s">
        <v>1358</v>
      </c>
      <c r="M4" t="s">
        <v>1359</v>
      </c>
    </row>
    <row r="5" spans="1:13" x14ac:dyDescent="0.25">
      <c r="A5" t="s">
        <v>1360</v>
      </c>
      <c r="B5">
        <v>90.9</v>
      </c>
      <c r="C5">
        <v>18.2</v>
      </c>
      <c r="D5">
        <v>8</v>
      </c>
      <c r="E5">
        <v>6.5</v>
      </c>
      <c r="F5">
        <v>30.3</v>
      </c>
      <c r="G5">
        <v>2.5</v>
      </c>
      <c r="H5">
        <v>2.2000000000000002</v>
      </c>
      <c r="K5">
        <v>3.8</v>
      </c>
      <c r="L5" t="s">
        <v>81</v>
      </c>
    </row>
    <row r="6" spans="1:13" x14ac:dyDescent="0.25">
      <c r="A6" t="s">
        <v>1361</v>
      </c>
      <c r="B6">
        <v>89.6</v>
      </c>
      <c r="C6">
        <v>18</v>
      </c>
      <c r="D6">
        <v>8.1</v>
      </c>
      <c r="E6">
        <v>6.6</v>
      </c>
      <c r="F6">
        <v>31</v>
      </c>
      <c r="G6">
        <v>2.7</v>
      </c>
      <c r="H6">
        <v>2.4</v>
      </c>
      <c r="I6">
        <f>AVERAGE(4.3,3.9)</f>
        <v>4.0999999999999996</v>
      </c>
      <c r="J6">
        <v>76.2</v>
      </c>
      <c r="K6">
        <v>3.6</v>
      </c>
      <c r="L6" t="s">
        <v>100</v>
      </c>
      <c r="M6" t="s">
        <v>1362</v>
      </c>
    </row>
    <row r="7" spans="1:13" x14ac:dyDescent="0.25">
      <c r="A7" t="s">
        <v>1363</v>
      </c>
      <c r="B7">
        <v>92.5</v>
      </c>
      <c r="C7">
        <v>18.7</v>
      </c>
      <c r="D7">
        <v>8.8000000000000007</v>
      </c>
      <c r="E7">
        <v>7.2</v>
      </c>
      <c r="G7">
        <v>3</v>
      </c>
      <c r="H7">
        <v>2.7</v>
      </c>
      <c r="K7">
        <v>3.2</v>
      </c>
      <c r="L7" t="s">
        <v>1364</v>
      </c>
    </row>
    <row r="8" spans="1:13" x14ac:dyDescent="0.25">
      <c r="A8" t="s">
        <v>1365</v>
      </c>
      <c r="B8">
        <v>92</v>
      </c>
      <c r="C8">
        <v>18.3</v>
      </c>
      <c r="D8">
        <v>8.1999999999999993</v>
      </c>
      <c r="E8">
        <v>6.6</v>
      </c>
      <c r="F8">
        <v>2</v>
      </c>
      <c r="G8">
        <v>2.2000000000000002</v>
      </c>
      <c r="H8">
        <v>1.9</v>
      </c>
      <c r="K8">
        <v>4.0999999999999996</v>
      </c>
      <c r="L8" t="s">
        <v>90</v>
      </c>
    </row>
    <row r="9" spans="1:13" x14ac:dyDescent="0.25">
      <c r="A9" t="s">
        <v>1366</v>
      </c>
      <c r="B9">
        <v>91.6</v>
      </c>
      <c r="C9">
        <v>18.100000000000001</v>
      </c>
      <c r="D9">
        <v>9.6999999999999993</v>
      </c>
      <c r="E9">
        <v>7.9</v>
      </c>
      <c r="F9">
        <v>15.6</v>
      </c>
      <c r="K9">
        <v>4.0999999999999996</v>
      </c>
      <c r="L9" t="s">
        <v>1367</v>
      </c>
    </row>
    <row r="11" spans="1:13" x14ac:dyDescent="0.25">
      <c r="A11" s="5" t="s">
        <v>1168</v>
      </c>
      <c r="B11">
        <f>AVERAGE(B4,B5,B6,B7,B8,B9)</f>
        <v>91.266666666666666</v>
      </c>
      <c r="C11">
        <f t="shared" ref="C11:K11" si="0">AVERAGE(C4,C5,C6,C7,C8,C9)</f>
        <v>18.3</v>
      </c>
      <c r="D11">
        <f t="shared" si="0"/>
        <v>8.5166666666666675</v>
      </c>
      <c r="E11">
        <f t="shared" si="0"/>
        <v>6.9333333333333327</v>
      </c>
      <c r="F11">
        <f t="shared" si="0"/>
        <v>16.479999999999997</v>
      </c>
      <c r="G11">
        <f t="shared" si="0"/>
        <v>2.54</v>
      </c>
      <c r="H11">
        <f t="shared" si="0"/>
        <v>2.2400000000000002</v>
      </c>
      <c r="I11">
        <f t="shared" si="0"/>
        <v>3.0999999999999996</v>
      </c>
      <c r="J11">
        <f t="shared" si="0"/>
        <v>60.95</v>
      </c>
      <c r="K11">
        <f t="shared" si="0"/>
        <v>3.8333333333333335</v>
      </c>
    </row>
  </sheetData>
  <mergeCells count="2">
    <mergeCell ref="D2:F2"/>
    <mergeCell ref="G2:I2"/>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6C327-BBCD-754F-8EB6-C70BC98A9974}">
  <dimension ref="A1:L12"/>
  <sheetViews>
    <sheetView workbookViewId="0">
      <selection sqref="A1:L3"/>
    </sheetView>
  </sheetViews>
  <sheetFormatPr defaultColWidth="11.42578125" defaultRowHeight="15" x14ac:dyDescent="0.25"/>
  <cols>
    <col min="1" max="1" width="40" customWidth="1"/>
  </cols>
  <sheetData>
    <row r="1" spans="1:12" ht="18.75" x14ac:dyDescent="0.25">
      <c r="A1" s="20" t="s">
        <v>1368</v>
      </c>
      <c r="B1" s="20"/>
      <c r="C1" s="16"/>
      <c r="D1" s="16"/>
      <c r="E1" s="16"/>
      <c r="F1" s="16"/>
      <c r="G1" s="16"/>
      <c r="H1" s="16"/>
      <c r="I1" s="16"/>
      <c r="J1" s="16"/>
      <c r="K1" s="16"/>
      <c r="L1" s="16"/>
    </row>
    <row r="2" spans="1:12" ht="18.75" x14ac:dyDescent="0.25">
      <c r="A2" s="20"/>
      <c r="B2" s="20"/>
      <c r="C2" s="16"/>
      <c r="D2" s="83" t="s">
        <v>1146</v>
      </c>
      <c r="E2" s="83"/>
      <c r="F2" s="83"/>
      <c r="G2" s="83" t="s">
        <v>1147</v>
      </c>
      <c r="H2" s="83"/>
      <c r="I2" s="83"/>
      <c r="J2" s="21"/>
      <c r="K2" s="21"/>
      <c r="L2" s="16"/>
    </row>
    <row r="3" spans="1:12" x14ac:dyDescent="0.25">
      <c r="A3" s="22" t="s">
        <v>1148</v>
      </c>
      <c r="B3" s="22" t="s">
        <v>1149</v>
      </c>
      <c r="C3" s="22" t="s">
        <v>1150</v>
      </c>
      <c r="D3" s="22" t="s">
        <v>1151</v>
      </c>
      <c r="E3" s="22" t="s">
        <v>1152</v>
      </c>
      <c r="F3" s="22" t="s">
        <v>1153</v>
      </c>
      <c r="G3" s="22" t="s">
        <v>1154</v>
      </c>
      <c r="H3" s="22" t="s">
        <v>1155</v>
      </c>
      <c r="I3" s="22" t="s">
        <v>1156</v>
      </c>
      <c r="J3" s="22" t="s">
        <v>1355</v>
      </c>
      <c r="K3" s="22" t="s">
        <v>1158</v>
      </c>
      <c r="L3" s="22" t="s">
        <v>1159</v>
      </c>
    </row>
    <row r="4" spans="1:12" x14ac:dyDescent="0.25">
      <c r="A4" t="s">
        <v>1369</v>
      </c>
      <c r="B4">
        <v>16.8</v>
      </c>
      <c r="C4">
        <v>18.3</v>
      </c>
      <c r="D4">
        <v>14.2</v>
      </c>
      <c r="E4">
        <v>11.1</v>
      </c>
      <c r="F4">
        <v>82.2</v>
      </c>
      <c r="K4">
        <v>24.9</v>
      </c>
      <c r="L4" s="4" t="s">
        <v>1370</v>
      </c>
    </row>
    <row r="5" spans="1:12" x14ac:dyDescent="0.25">
      <c r="A5" t="s">
        <v>1371</v>
      </c>
      <c r="B5">
        <v>12.5</v>
      </c>
      <c r="C5">
        <v>17.399999999999999</v>
      </c>
      <c r="D5">
        <v>12.2</v>
      </c>
      <c r="E5">
        <v>9.6</v>
      </c>
      <c r="F5">
        <v>74.900000000000006</v>
      </c>
      <c r="K5">
        <v>19.899999999999999</v>
      </c>
      <c r="L5" t="s">
        <v>1372</v>
      </c>
    </row>
    <row r="6" spans="1:12" x14ac:dyDescent="0.25">
      <c r="A6" t="s">
        <v>1373</v>
      </c>
      <c r="B6">
        <v>25.2</v>
      </c>
      <c r="C6">
        <v>18.100000000000001</v>
      </c>
      <c r="D6">
        <v>13.1</v>
      </c>
      <c r="E6">
        <v>10.6</v>
      </c>
      <c r="F6">
        <v>74.099999999999994</v>
      </c>
      <c r="K6">
        <v>15.9</v>
      </c>
      <c r="L6" t="s">
        <v>1374</v>
      </c>
    </row>
    <row r="7" spans="1:12" x14ac:dyDescent="0.25">
      <c r="A7" t="s">
        <v>1375</v>
      </c>
      <c r="B7">
        <v>11.6</v>
      </c>
      <c r="C7">
        <v>17.600000000000001</v>
      </c>
      <c r="D7">
        <v>12.9</v>
      </c>
      <c r="E7">
        <v>10.3</v>
      </c>
      <c r="F7">
        <v>78.8</v>
      </c>
      <c r="K7">
        <v>21.6</v>
      </c>
      <c r="L7" t="s">
        <v>1376</v>
      </c>
    </row>
    <row r="8" spans="1:12" x14ac:dyDescent="0.25">
      <c r="A8" t="s">
        <v>1377</v>
      </c>
      <c r="B8">
        <v>19</v>
      </c>
      <c r="C8">
        <v>18.399999999999999</v>
      </c>
      <c r="D8">
        <v>13.1</v>
      </c>
      <c r="E8">
        <v>10.4</v>
      </c>
      <c r="F8">
        <v>73.3</v>
      </c>
      <c r="K8">
        <v>19.7</v>
      </c>
      <c r="L8" t="s">
        <v>1378</v>
      </c>
    </row>
    <row r="9" spans="1:12" x14ac:dyDescent="0.25">
      <c r="A9" t="s">
        <v>1379</v>
      </c>
      <c r="B9">
        <v>15.1</v>
      </c>
      <c r="C9">
        <v>18.3</v>
      </c>
      <c r="D9">
        <v>12</v>
      </c>
      <c r="E9">
        <v>9.5</v>
      </c>
      <c r="F9">
        <v>77</v>
      </c>
      <c r="K9">
        <v>18.100000000000001</v>
      </c>
      <c r="L9" t="s">
        <v>1380</v>
      </c>
    </row>
    <row r="10" spans="1:12" x14ac:dyDescent="0.25">
      <c r="A10" t="s">
        <v>1381</v>
      </c>
      <c r="B10">
        <v>19.899999999999999</v>
      </c>
      <c r="C10">
        <v>18.3</v>
      </c>
      <c r="D10">
        <v>13.6</v>
      </c>
      <c r="E10">
        <v>10.9</v>
      </c>
      <c r="K10">
        <v>17.8</v>
      </c>
      <c r="L10" t="s">
        <v>1382</v>
      </c>
    </row>
    <row r="12" spans="1:12" x14ac:dyDescent="0.25">
      <c r="A12" s="5" t="s">
        <v>1168</v>
      </c>
      <c r="B12">
        <f>AVERAGE(B4,B5,B6,B7,B8,B9,B10)</f>
        <v>17.157142857142855</v>
      </c>
      <c r="C12">
        <f t="shared" ref="C12:K12" si="0">AVERAGE(C4,C5,C6,C7,C8,C9,C10)</f>
        <v>18.057142857142857</v>
      </c>
      <c r="D12">
        <f t="shared" si="0"/>
        <v>13.014285714285714</v>
      </c>
      <c r="E12">
        <f t="shared" si="0"/>
        <v>10.342857142857142</v>
      </c>
      <c r="F12">
        <f t="shared" si="0"/>
        <v>76.716666666666669</v>
      </c>
      <c r="K12">
        <f t="shared" si="0"/>
        <v>19.7</v>
      </c>
    </row>
  </sheetData>
  <mergeCells count="2">
    <mergeCell ref="D2:F2"/>
    <mergeCell ref="G2:I2"/>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A5D80-D21E-3D46-AECB-548CC8C662D9}">
  <dimension ref="A1:L12"/>
  <sheetViews>
    <sheetView workbookViewId="0">
      <selection activeCell="A9" sqref="A9"/>
    </sheetView>
  </sheetViews>
  <sheetFormatPr defaultColWidth="11.42578125" defaultRowHeight="15" x14ac:dyDescent="0.25"/>
  <cols>
    <col min="1" max="1" width="43.5703125" bestFit="1" customWidth="1"/>
  </cols>
  <sheetData>
    <row r="1" spans="1:12" ht="18.75" x14ac:dyDescent="0.25">
      <c r="A1" s="20" t="s">
        <v>1383</v>
      </c>
      <c r="B1" s="20"/>
      <c r="C1" s="16"/>
      <c r="D1" s="16"/>
      <c r="E1" s="16"/>
      <c r="F1" s="16"/>
      <c r="G1" s="16"/>
      <c r="H1" s="16"/>
      <c r="I1" s="16"/>
      <c r="J1" s="16"/>
      <c r="K1" s="16"/>
      <c r="L1" s="16"/>
    </row>
    <row r="2" spans="1:12" ht="18.75" x14ac:dyDescent="0.25">
      <c r="A2" s="20"/>
      <c r="B2" s="20"/>
      <c r="C2" s="16"/>
      <c r="D2" s="83" t="s">
        <v>1146</v>
      </c>
      <c r="E2" s="83"/>
      <c r="F2" s="83"/>
      <c r="G2" s="83" t="s">
        <v>1147</v>
      </c>
      <c r="H2" s="83"/>
      <c r="I2" s="83"/>
      <c r="J2" s="21"/>
      <c r="K2" s="21"/>
      <c r="L2" s="16"/>
    </row>
    <row r="3" spans="1:12" x14ac:dyDescent="0.25">
      <c r="A3" s="22" t="s">
        <v>1148</v>
      </c>
      <c r="B3" s="22" t="s">
        <v>1149</v>
      </c>
      <c r="C3" s="22" t="s">
        <v>1150</v>
      </c>
      <c r="D3" s="22" t="s">
        <v>1151</v>
      </c>
      <c r="E3" s="22" t="s">
        <v>1152</v>
      </c>
      <c r="F3" s="22" t="s">
        <v>1153</v>
      </c>
      <c r="G3" s="22" t="s">
        <v>1154</v>
      </c>
      <c r="H3" s="22" t="s">
        <v>1155</v>
      </c>
      <c r="I3" s="22" t="s">
        <v>1156</v>
      </c>
      <c r="J3" s="22" t="s">
        <v>1355</v>
      </c>
      <c r="K3" s="22" t="s">
        <v>1158</v>
      </c>
      <c r="L3" s="22" t="s">
        <v>1159</v>
      </c>
    </row>
    <row r="4" spans="1:12" x14ac:dyDescent="0.25">
      <c r="A4" t="s">
        <v>1384</v>
      </c>
      <c r="B4">
        <v>89.3</v>
      </c>
      <c r="C4">
        <v>17.899999999999999</v>
      </c>
      <c r="D4">
        <v>9.9</v>
      </c>
      <c r="E4">
        <v>7.9</v>
      </c>
      <c r="F4">
        <v>59.4</v>
      </c>
      <c r="K4">
        <v>10.3</v>
      </c>
      <c r="L4" t="s">
        <v>1385</v>
      </c>
    </row>
    <row r="5" spans="1:12" x14ac:dyDescent="0.25">
      <c r="A5" t="s">
        <v>1386</v>
      </c>
      <c r="B5">
        <v>89.3</v>
      </c>
      <c r="C5">
        <v>17.600000000000001</v>
      </c>
      <c r="D5">
        <v>12</v>
      </c>
      <c r="E5">
        <v>9.6</v>
      </c>
      <c r="F5">
        <v>37.6</v>
      </c>
      <c r="K5">
        <v>17.7</v>
      </c>
      <c r="L5" t="s">
        <v>1387</v>
      </c>
    </row>
    <row r="6" spans="1:12" x14ac:dyDescent="0.25">
      <c r="A6" t="s">
        <v>1388</v>
      </c>
      <c r="C6">
        <v>17</v>
      </c>
      <c r="D6">
        <v>10.4</v>
      </c>
      <c r="E6">
        <v>8.5</v>
      </c>
      <c r="F6">
        <v>42.4</v>
      </c>
      <c r="K6">
        <v>7.5</v>
      </c>
      <c r="L6" t="s">
        <v>1389</v>
      </c>
    </row>
    <row r="7" spans="1:12" x14ac:dyDescent="0.25">
      <c r="A7" t="s">
        <v>1390</v>
      </c>
      <c r="B7">
        <v>91.5</v>
      </c>
      <c r="C7">
        <v>18.3</v>
      </c>
      <c r="D7">
        <v>9.1999999999999993</v>
      </c>
      <c r="E7">
        <v>7.4</v>
      </c>
      <c r="F7">
        <v>58.3</v>
      </c>
      <c r="K7">
        <v>10.199999999999999</v>
      </c>
      <c r="L7" t="s">
        <v>1391</v>
      </c>
    </row>
    <row r="8" spans="1:12" x14ac:dyDescent="0.25">
      <c r="A8" t="s">
        <v>1392</v>
      </c>
      <c r="C8">
        <v>18.5</v>
      </c>
      <c r="D8">
        <v>10.9</v>
      </c>
      <c r="E8">
        <v>8.8000000000000007</v>
      </c>
      <c r="F8">
        <v>57.5</v>
      </c>
      <c r="K8">
        <v>8.5</v>
      </c>
      <c r="L8" t="s">
        <v>1393</v>
      </c>
    </row>
    <row r="9" spans="1:12" x14ac:dyDescent="0.25">
      <c r="A9" t="s">
        <v>1394</v>
      </c>
      <c r="B9">
        <v>89.5</v>
      </c>
      <c r="C9">
        <v>18</v>
      </c>
      <c r="D9">
        <v>7.9</v>
      </c>
      <c r="E9">
        <v>6.4</v>
      </c>
      <c r="K9">
        <v>4.5999999999999996</v>
      </c>
      <c r="L9" t="s">
        <v>1395</v>
      </c>
    </row>
    <row r="10" spans="1:12" x14ac:dyDescent="0.25">
      <c r="A10" t="s">
        <v>1396</v>
      </c>
      <c r="C10">
        <v>19.100000000000001</v>
      </c>
      <c r="D10">
        <v>11</v>
      </c>
      <c r="E10">
        <v>9</v>
      </c>
      <c r="F10">
        <v>30.7</v>
      </c>
      <c r="K10">
        <v>6.7</v>
      </c>
      <c r="L10" t="s">
        <v>1397</v>
      </c>
    </row>
    <row r="11" spans="1:12" x14ac:dyDescent="0.25">
      <c r="B11">
        <f>AVERAGE(B4,B5,B7,B9)</f>
        <v>89.9</v>
      </c>
      <c r="C11">
        <f>AVERAGE(C4,C6,C5,C7,C8,C9,C10)</f>
        <v>18.057142857142857</v>
      </c>
      <c r="D11">
        <f t="shared" ref="D11:F11" si="0">AVERAGE(D4,D6,D5,D7,D8,D9,D10)</f>
        <v>10.185714285714285</v>
      </c>
      <c r="E11">
        <f t="shared" si="0"/>
        <v>8.2285714285714295</v>
      </c>
      <c r="F11">
        <f t="shared" si="0"/>
        <v>47.65</v>
      </c>
      <c r="K11">
        <f>AVERAGE(K4,K6,K5,K7,K8,K9,K10)</f>
        <v>9.3571428571428577</v>
      </c>
    </row>
    <row r="12" spans="1:12" x14ac:dyDescent="0.25">
      <c r="A12" s="5" t="s">
        <v>1168</v>
      </c>
    </row>
  </sheetData>
  <mergeCells count="2">
    <mergeCell ref="D2:F2"/>
    <mergeCell ref="G2:I2"/>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7B3DB-D8F7-5541-A4E5-9782FD0630E5}">
  <dimension ref="A1:L10"/>
  <sheetViews>
    <sheetView workbookViewId="0"/>
  </sheetViews>
  <sheetFormatPr defaultColWidth="11.42578125" defaultRowHeight="15" x14ac:dyDescent="0.25"/>
  <cols>
    <col min="1" max="1" width="31.85546875" customWidth="1"/>
    <col min="2" max="2" width="19.42578125" customWidth="1"/>
  </cols>
  <sheetData>
    <row r="1" spans="1:12" ht="18.75" x14ac:dyDescent="0.25">
      <c r="A1" s="20" t="s">
        <v>1398</v>
      </c>
      <c r="B1" s="20"/>
      <c r="C1" s="16"/>
      <c r="D1" s="16"/>
      <c r="E1" s="16"/>
      <c r="F1" s="16"/>
      <c r="G1" s="16"/>
      <c r="H1" s="16"/>
      <c r="I1" s="16"/>
      <c r="J1" s="16"/>
      <c r="K1" s="16"/>
      <c r="L1" s="16"/>
    </row>
    <row r="2" spans="1:12" ht="18.75" x14ac:dyDescent="0.25">
      <c r="A2" s="20"/>
      <c r="B2" s="20"/>
      <c r="C2" s="16"/>
      <c r="D2" s="83" t="s">
        <v>1146</v>
      </c>
      <c r="E2" s="83"/>
      <c r="F2" s="83"/>
      <c r="G2" s="83" t="s">
        <v>1147</v>
      </c>
      <c r="H2" s="83"/>
      <c r="I2" s="83"/>
      <c r="J2" s="21"/>
      <c r="K2" s="21"/>
      <c r="L2" s="16"/>
    </row>
    <row r="3" spans="1:12" x14ac:dyDescent="0.25">
      <c r="A3" s="22" t="s">
        <v>1148</v>
      </c>
      <c r="B3" s="22" t="s">
        <v>1149</v>
      </c>
      <c r="C3" s="22" t="s">
        <v>1150</v>
      </c>
      <c r="D3" s="22" t="s">
        <v>1151</v>
      </c>
      <c r="E3" s="22" t="s">
        <v>1152</v>
      </c>
      <c r="F3" s="22" t="s">
        <v>1153</v>
      </c>
      <c r="G3" s="22" t="s">
        <v>1154</v>
      </c>
      <c r="H3" s="22" t="s">
        <v>1155</v>
      </c>
      <c r="I3" s="22" t="s">
        <v>1156</v>
      </c>
      <c r="J3" s="22" t="s">
        <v>1355</v>
      </c>
      <c r="K3" s="22" t="s">
        <v>1158</v>
      </c>
      <c r="L3" s="22" t="s">
        <v>1159</v>
      </c>
    </row>
    <row r="4" spans="1:12" x14ac:dyDescent="0.25">
      <c r="A4" t="s">
        <v>1399</v>
      </c>
      <c r="B4">
        <v>85.9</v>
      </c>
      <c r="C4">
        <v>18.100000000000001</v>
      </c>
      <c r="D4">
        <v>9.1</v>
      </c>
      <c r="E4">
        <v>7.2</v>
      </c>
      <c r="F4">
        <v>80.900000000000006</v>
      </c>
      <c r="K4">
        <v>15.8</v>
      </c>
      <c r="L4" t="s">
        <v>1400</v>
      </c>
    </row>
    <row r="5" spans="1:12" x14ac:dyDescent="0.25">
      <c r="A5" t="s">
        <v>1401</v>
      </c>
      <c r="B5">
        <v>90.6</v>
      </c>
      <c r="C5">
        <v>18.5</v>
      </c>
      <c r="D5">
        <v>10.6</v>
      </c>
      <c r="E5">
        <v>8.5</v>
      </c>
      <c r="F5">
        <v>63.9</v>
      </c>
      <c r="K5">
        <v>14.8</v>
      </c>
      <c r="L5" t="s">
        <v>1402</v>
      </c>
    </row>
    <row r="6" spans="1:12" x14ac:dyDescent="0.25">
      <c r="A6" t="s">
        <v>1403</v>
      </c>
      <c r="B6">
        <v>90.1</v>
      </c>
      <c r="C6">
        <v>18.100000000000001</v>
      </c>
      <c r="D6">
        <v>11</v>
      </c>
      <c r="E6">
        <v>8.6999999999999993</v>
      </c>
      <c r="F6">
        <v>76.7</v>
      </c>
      <c r="K6">
        <v>19.7</v>
      </c>
      <c r="L6" t="s">
        <v>1404</v>
      </c>
    </row>
    <row r="7" spans="1:12" x14ac:dyDescent="0.25">
      <c r="A7" t="s">
        <v>1405</v>
      </c>
      <c r="B7">
        <v>91.2</v>
      </c>
      <c r="C7">
        <v>17.5</v>
      </c>
      <c r="D7">
        <v>9.9</v>
      </c>
      <c r="E7">
        <v>7.8</v>
      </c>
      <c r="F7">
        <v>64.099999999999994</v>
      </c>
      <c r="K7">
        <v>14.8</v>
      </c>
      <c r="L7" t="s">
        <v>1406</v>
      </c>
    </row>
    <row r="8" spans="1:12" x14ac:dyDescent="0.25">
      <c r="A8" t="s">
        <v>1407</v>
      </c>
      <c r="B8">
        <v>91.5</v>
      </c>
      <c r="C8">
        <v>19.600000000000001</v>
      </c>
      <c r="D8">
        <v>10.9</v>
      </c>
      <c r="E8">
        <v>8.6</v>
      </c>
      <c r="F8">
        <v>83.1</v>
      </c>
      <c r="K8">
        <v>15.9</v>
      </c>
      <c r="L8" t="s">
        <v>1408</v>
      </c>
    </row>
    <row r="10" spans="1:12" x14ac:dyDescent="0.25">
      <c r="A10" s="5" t="s">
        <v>1409</v>
      </c>
      <c r="B10">
        <f>AVERAGE(B4,B5,B6,B7,B8)</f>
        <v>89.86</v>
      </c>
      <c r="C10">
        <f t="shared" ref="C10:F10" si="0">AVERAGE(C4,C5,C6,C7,C8)</f>
        <v>18.360000000000003</v>
      </c>
      <c r="D10">
        <f t="shared" si="0"/>
        <v>10.3</v>
      </c>
      <c r="E10">
        <f t="shared" si="0"/>
        <v>8.16</v>
      </c>
      <c r="F10">
        <f t="shared" si="0"/>
        <v>73.740000000000009</v>
      </c>
      <c r="K10">
        <f>AVERAGE(K4,K5,K6,K7,K8)</f>
        <v>16.2</v>
      </c>
    </row>
  </sheetData>
  <mergeCells count="2">
    <mergeCell ref="D2:F2"/>
    <mergeCell ref="G2:I2"/>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93A3B-6C71-BA43-AE9F-12942B77D720}">
  <dimension ref="A1:L13"/>
  <sheetViews>
    <sheetView workbookViewId="0">
      <selection activeCell="L5" sqref="L5"/>
    </sheetView>
  </sheetViews>
  <sheetFormatPr defaultColWidth="11.42578125" defaultRowHeight="15" x14ac:dyDescent="0.25"/>
  <cols>
    <col min="1" max="1" width="44.42578125" customWidth="1"/>
  </cols>
  <sheetData>
    <row r="1" spans="1:12" ht="18.75" x14ac:dyDescent="0.3">
      <c r="A1" s="12" t="s">
        <v>1410</v>
      </c>
    </row>
    <row r="3" spans="1:12" ht="18.75" x14ac:dyDescent="0.25">
      <c r="A3" s="20"/>
      <c r="B3" s="20"/>
      <c r="C3" s="16"/>
      <c r="D3" s="83" t="s">
        <v>1146</v>
      </c>
      <c r="E3" s="83"/>
      <c r="F3" s="83"/>
      <c r="G3" s="83" t="s">
        <v>1147</v>
      </c>
      <c r="H3" s="83"/>
      <c r="I3" s="83"/>
      <c r="J3" s="21"/>
      <c r="K3" s="21"/>
      <c r="L3" s="16"/>
    </row>
    <row r="4" spans="1:12" x14ac:dyDescent="0.25">
      <c r="A4" s="22" t="s">
        <v>1148</v>
      </c>
      <c r="B4" s="22" t="s">
        <v>1149</v>
      </c>
      <c r="C4" s="22" t="s">
        <v>1150</v>
      </c>
      <c r="D4" s="22" t="s">
        <v>1151</v>
      </c>
      <c r="E4" s="22" t="s">
        <v>1152</v>
      </c>
      <c r="F4" s="22" t="s">
        <v>1153</v>
      </c>
      <c r="G4" s="22" t="s">
        <v>1154</v>
      </c>
      <c r="H4" s="22" t="s">
        <v>1155</v>
      </c>
      <c r="I4" s="22" t="s">
        <v>1156</v>
      </c>
      <c r="J4" s="22" t="s">
        <v>1355</v>
      </c>
      <c r="K4" s="22" t="s">
        <v>1158</v>
      </c>
      <c r="L4" s="22" t="s">
        <v>1159</v>
      </c>
    </row>
    <row r="5" spans="1:12" x14ac:dyDescent="0.25">
      <c r="A5" t="s">
        <v>1411</v>
      </c>
      <c r="B5">
        <v>41.4</v>
      </c>
      <c r="C5">
        <v>18</v>
      </c>
      <c r="D5">
        <v>11</v>
      </c>
      <c r="E5">
        <v>8.9</v>
      </c>
      <c r="G5">
        <v>6.9</v>
      </c>
      <c r="K5">
        <v>7.6</v>
      </c>
      <c r="L5" s="4" t="s">
        <v>1412</v>
      </c>
    </row>
    <row r="6" spans="1:12" x14ac:dyDescent="0.25">
      <c r="A6" t="s">
        <v>1413</v>
      </c>
      <c r="B6">
        <v>17.5</v>
      </c>
      <c r="C6">
        <v>17.8</v>
      </c>
      <c r="D6">
        <v>10.8</v>
      </c>
      <c r="E6">
        <v>8.6999999999999993</v>
      </c>
      <c r="F6">
        <v>33</v>
      </c>
      <c r="K6">
        <v>10</v>
      </c>
      <c r="L6" t="s">
        <v>1414</v>
      </c>
    </row>
    <row r="7" spans="1:12" x14ac:dyDescent="0.25">
      <c r="A7" t="s">
        <v>1415</v>
      </c>
      <c r="B7">
        <v>17.899999999999999</v>
      </c>
      <c r="C7">
        <v>17.399999999999999</v>
      </c>
      <c r="D7">
        <v>10.199999999999999</v>
      </c>
      <c r="E7">
        <v>8.1999999999999993</v>
      </c>
      <c r="F7">
        <v>57.3</v>
      </c>
      <c r="K7">
        <v>9.6999999999999993</v>
      </c>
      <c r="L7" t="s">
        <v>1416</v>
      </c>
    </row>
    <row r="8" spans="1:12" x14ac:dyDescent="0.25">
      <c r="A8" t="s">
        <v>1417</v>
      </c>
      <c r="B8">
        <v>20.7</v>
      </c>
      <c r="C8">
        <v>18</v>
      </c>
      <c r="D8">
        <v>12</v>
      </c>
      <c r="E8">
        <v>9.5</v>
      </c>
      <c r="F8">
        <v>58.9</v>
      </c>
      <c r="K8">
        <v>16.3</v>
      </c>
      <c r="L8" t="s">
        <v>1418</v>
      </c>
    </row>
    <row r="9" spans="1:12" x14ac:dyDescent="0.25">
      <c r="A9" t="s">
        <v>1419</v>
      </c>
      <c r="B9">
        <v>24.9</v>
      </c>
      <c r="C9">
        <v>18.3</v>
      </c>
      <c r="D9">
        <v>10.6</v>
      </c>
      <c r="E9">
        <v>8.5</v>
      </c>
      <c r="F9">
        <v>65.3</v>
      </c>
      <c r="K9">
        <v>9</v>
      </c>
      <c r="L9" t="s">
        <v>1420</v>
      </c>
    </row>
    <row r="10" spans="1:12" x14ac:dyDescent="0.25">
      <c r="A10" t="s">
        <v>1421</v>
      </c>
      <c r="B10">
        <v>20.8</v>
      </c>
      <c r="C10">
        <v>18.2</v>
      </c>
      <c r="D10">
        <v>11.6</v>
      </c>
      <c r="E10">
        <v>9.3000000000000007</v>
      </c>
      <c r="F10">
        <v>68.2</v>
      </c>
      <c r="K10">
        <v>11</v>
      </c>
      <c r="L10" t="s">
        <v>1422</v>
      </c>
    </row>
    <row r="11" spans="1:12" x14ac:dyDescent="0.25">
      <c r="A11" t="s">
        <v>1423</v>
      </c>
      <c r="B11">
        <v>27</v>
      </c>
      <c r="C11">
        <v>18.2</v>
      </c>
      <c r="D11">
        <v>11.6</v>
      </c>
      <c r="E11">
        <v>9.3000000000000007</v>
      </c>
      <c r="F11">
        <v>68</v>
      </c>
      <c r="K11">
        <v>13.8</v>
      </c>
      <c r="L11" t="s">
        <v>1424</v>
      </c>
    </row>
    <row r="13" spans="1:12" x14ac:dyDescent="0.25">
      <c r="A13" t="s">
        <v>1168</v>
      </c>
      <c r="B13">
        <f>AVERAGE(B5,B6,B7,B8,B9,B10,B11)</f>
        <v>24.314285714285717</v>
      </c>
      <c r="C13">
        <f>AVERAGE(C5,C6,C7,C8,C9,C10,C11)</f>
        <v>17.985714285714284</v>
      </c>
      <c r="D13">
        <f t="shared" ref="D13:F13" si="0">AVERAGE(D5,D6,D7,D8,D9,D10,D11)</f>
        <v>11.114285714285714</v>
      </c>
      <c r="E13">
        <f t="shared" si="0"/>
        <v>8.9142857142857128</v>
      </c>
      <c r="F13">
        <f t="shared" si="0"/>
        <v>58.449999999999996</v>
      </c>
      <c r="K13">
        <f>AVERAGE(K5,K6,K7,K8,K9,K10,K11)</f>
        <v>11.057142857142859</v>
      </c>
    </row>
  </sheetData>
  <mergeCells count="2">
    <mergeCell ref="D3:F3"/>
    <mergeCell ref="G3:I3"/>
  </mergeCells>
  <hyperlinks>
    <hyperlink ref="L5" r:id="rId1" xr:uid="{F406E6E8-0822-194A-98A6-B8F7301B4438}"/>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77F64-8D0B-8848-9716-84630F7B1C18}">
  <dimension ref="A1:L14"/>
  <sheetViews>
    <sheetView workbookViewId="0">
      <selection activeCell="A13" sqref="A13"/>
    </sheetView>
  </sheetViews>
  <sheetFormatPr defaultColWidth="11.42578125" defaultRowHeight="15" x14ac:dyDescent="0.25"/>
  <cols>
    <col min="1" max="1" width="49.7109375" bestFit="1" customWidth="1"/>
  </cols>
  <sheetData>
    <row r="1" spans="1:12" ht="18.75" x14ac:dyDescent="0.3">
      <c r="A1" s="12" t="s">
        <v>1425</v>
      </c>
    </row>
    <row r="3" spans="1:12" ht="18.75" x14ac:dyDescent="0.25">
      <c r="A3" s="20"/>
      <c r="B3" s="20"/>
      <c r="C3" s="16"/>
      <c r="D3" s="83" t="s">
        <v>1146</v>
      </c>
      <c r="E3" s="83"/>
      <c r="F3" s="83"/>
      <c r="G3" s="83" t="s">
        <v>1147</v>
      </c>
      <c r="H3" s="83"/>
      <c r="I3" s="83"/>
      <c r="J3" s="21"/>
      <c r="K3" s="21"/>
      <c r="L3" s="16"/>
    </row>
    <row r="4" spans="1:12" x14ac:dyDescent="0.25">
      <c r="A4" s="22" t="s">
        <v>1148</v>
      </c>
      <c r="B4" s="22" t="s">
        <v>1149</v>
      </c>
      <c r="C4" s="22" t="s">
        <v>1150</v>
      </c>
      <c r="D4" s="22" t="s">
        <v>1151</v>
      </c>
      <c r="E4" s="22" t="s">
        <v>1152</v>
      </c>
      <c r="F4" s="22" t="s">
        <v>1153</v>
      </c>
      <c r="G4" s="22" t="s">
        <v>1154</v>
      </c>
      <c r="H4" s="22" t="s">
        <v>1155</v>
      </c>
      <c r="I4" s="22" t="s">
        <v>1156</v>
      </c>
      <c r="J4" s="22" t="s">
        <v>1355</v>
      </c>
      <c r="K4" s="22" t="s">
        <v>1158</v>
      </c>
      <c r="L4" s="22" t="s">
        <v>1159</v>
      </c>
    </row>
    <row r="5" spans="1:12" x14ac:dyDescent="0.25">
      <c r="A5" t="s">
        <v>1426</v>
      </c>
      <c r="B5">
        <v>23.1</v>
      </c>
      <c r="C5">
        <v>18.899999999999999</v>
      </c>
      <c r="D5">
        <v>12.5</v>
      </c>
      <c r="E5">
        <v>9.8000000000000007</v>
      </c>
      <c r="F5">
        <v>47.9</v>
      </c>
      <c r="K5">
        <v>21.1</v>
      </c>
      <c r="L5" t="s">
        <v>1427</v>
      </c>
    </row>
    <row r="6" spans="1:12" x14ac:dyDescent="0.25">
      <c r="A6" t="s">
        <v>1428</v>
      </c>
      <c r="B6">
        <v>25</v>
      </c>
      <c r="C6">
        <v>17.7</v>
      </c>
      <c r="D6">
        <v>10.7</v>
      </c>
      <c r="E6">
        <v>8.5</v>
      </c>
      <c r="K6">
        <v>14.8</v>
      </c>
      <c r="L6" t="s">
        <v>1429</v>
      </c>
    </row>
    <row r="7" spans="1:12" x14ac:dyDescent="0.25">
      <c r="A7" t="s">
        <v>1430</v>
      </c>
      <c r="B7">
        <v>26.5</v>
      </c>
      <c r="C7">
        <v>18.5</v>
      </c>
      <c r="D7">
        <v>11</v>
      </c>
      <c r="E7">
        <v>8.6999999999999993</v>
      </c>
      <c r="F7">
        <v>85</v>
      </c>
      <c r="K7">
        <v>15.1</v>
      </c>
      <c r="L7" t="s">
        <v>1431</v>
      </c>
    </row>
    <row r="8" spans="1:12" x14ac:dyDescent="0.25">
      <c r="A8" t="s">
        <v>1432</v>
      </c>
      <c r="B8">
        <v>17.3</v>
      </c>
      <c r="C8">
        <v>19.2</v>
      </c>
      <c r="D8">
        <v>14.5</v>
      </c>
      <c r="E8">
        <v>11.5</v>
      </c>
      <c r="F8">
        <v>74</v>
      </c>
      <c r="K8">
        <v>25.5</v>
      </c>
      <c r="L8" t="s">
        <v>1433</v>
      </c>
    </row>
    <row r="9" spans="1:12" x14ac:dyDescent="0.25">
      <c r="A9" t="s">
        <v>1434</v>
      </c>
      <c r="B9">
        <v>26</v>
      </c>
      <c r="C9">
        <v>18.3</v>
      </c>
      <c r="D9">
        <v>14.4</v>
      </c>
      <c r="E9">
        <v>11.5</v>
      </c>
      <c r="F9">
        <v>71.3</v>
      </c>
      <c r="K9">
        <v>24.4</v>
      </c>
      <c r="L9" t="s">
        <v>1435</v>
      </c>
    </row>
    <row r="10" spans="1:12" x14ac:dyDescent="0.25">
      <c r="A10" t="s">
        <v>1436</v>
      </c>
      <c r="B10">
        <v>21.2</v>
      </c>
      <c r="C10">
        <v>18.7</v>
      </c>
      <c r="D10">
        <v>13.5</v>
      </c>
      <c r="E10">
        <v>10.6</v>
      </c>
      <c r="F10">
        <v>63.7</v>
      </c>
      <c r="K10">
        <v>23.8</v>
      </c>
      <c r="L10" t="s">
        <v>1437</v>
      </c>
    </row>
    <row r="11" spans="1:12" x14ac:dyDescent="0.25">
      <c r="A11" t="s">
        <v>1438</v>
      </c>
      <c r="B11">
        <v>22.3</v>
      </c>
      <c r="C11">
        <v>19</v>
      </c>
      <c r="D11">
        <v>12.6</v>
      </c>
      <c r="E11">
        <v>10.1</v>
      </c>
      <c r="F11">
        <v>68.8</v>
      </c>
      <c r="K11">
        <v>16.899999999999999</v>
      </c>
      <c r="L11" t="s">
        <v>1439</v>
      </c>
    </row>
    <row r="12" spans="1:12" x14ac:dyDescent="0.25">
      <c r="A12" t="s">
        <v>1440</v>
      </c>
      <c r="B12">
        <v>12.3</v>
      </c>
      <c r="C12">
        <v>18.100000000000001</v>
      </c>
      <c r="D12">
        <v>12.3</v>
      </c>
      <c r="E12">
        <v>9.6999999999999993</v>
      </c>
      <c r="F12">
        <v>68.5</v>
      </c>
      <c r="K12">
        <v>20.2</v>
      </c>
      <c r="L12" t="s">
        <v>1441</v>
      </c>
    </row>
    <row r="14" spans="1:12" x14ac:dyDescent="0.25">
      <c r="A14" t="s">
        <v>1168</v>
      </c>
      <c r="B14">
        <f>AVERAGE(B5,B6,B8,B7,B9,B10,B11,B12)</f>
        <v>21.712500000000002</v>
      </c>
      <c r="C14">
        <f t="shared" ref="C14:F14" si="0">AVERAGE(C5,C6,C8,C7,C9,C10,C11,C12)</f>
        <v>18.55</v>
      </c>
      <c r="D14">
        <f t="shared" si="0"/>
        <v>12.687499999999998</v>
      </c>
      <c r="E14">
        <f t="shared" si="0"/>
        <v>10.050000000000001</v>
      </c>
      <c r="F14">
        <f t="shared" si="0"/>
        <v>68.457142857142856</v>
      </c>
      <c r="K14">
        <f>AVERAGE(K5,K6,K8,K7,K9,K10,K11,K12)</f>
        <v>20.224999999999998</v>
      </c>
    </row>
  </sheetData>
  <mergeCells count="2">
    <mergeCell ref="D3:F3"/>
    <mergeCell ref="G3:I3"/>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11"/>
  <sheetViews>
    <sheetView workbookViewId="0">
      <selection activeCell="H3" sqref="H3"/>
    </sheetView>
  </sheetViews>
  <sheetFormatPr defaultColWidth="8.85546875" defaultRowHeight="15" x14ac:dyDescent="0.25"/>
  <cols>
    <col min="1" max="2" width="32.7109375" customWidth="1"/>
    <col min="3" max="3" width="9.7109375" bestFit="1" customWidth="1"/>
    <col min="4" max="4" width="9.7109375" customWidth="1"/>
    <col min="5" max="5" width="9.7109375" bestFit="1" customWidth="1"/>
    <col min="6" max="6" width="10.140625" bestFit="1" customWidth="1"/>
    <col min="7" max="7" width="9.7109375" bestFit="1" customWidth="1"/>
    <col min="8" max="8" width="22.28515625" customWidth="1"/>
    <col min="9" max="9" width="14.85546875" bestFit="1" customWidth="1"/>
    <col min="10" max="10" width="17.7109375" bestFit="1" customWidth="1"/>
    <col min="11" max="11" width="20.140625" customWidth="1"/>
  </cols>
  <sheetData>
    <row r="1" spans="1:12" ht="18.75" x14ac:dyDescent="0.3">
      <c r="A1" s="12" t="s">
        <v>1442</v>
      </c>
      <c r="B1" s="12"/>
    </row>
    <row r="2" spans="1:12" x14ac:dyDescent="0.25">
      <c r="E2" s="82" t="s">
        <v>1146</v>
      </c>
      <c r="F2" s="82"/>
      <c r="G2" s="82"/>
      <c r="H2" s="82"/>
      <c r="I2" s="82" t="s">
        <v>1443</v>
      </c>
      <c r="J2" s="82"/>
      <c r="K2" s="82"/>
    </row>
    <row r="3" spans="1:12" x14ac:dyDescent="0.25">
      <c r="A3" s="3" t="s">
        <v>1148</v>
      </c>
      <c r="B3" s="3" t="s">
        <v>1444</v>
      </c>
      <c r="C3" s="3" t="s">
        <v>1150</v>
      </c>
      <c r="D3" s="3" t="s">
        <v>1158</v>
      </c>
      <c r="E3" s="3" t="s">
        <v>1151</v>
      </c>
      <c r="F3" s="3" t="s">
        <v>1152</v>
      </c>
      <c r="G3" s="3" t="s">
        <v>1151</v>
      </c>
      <c r="H3" s="3" t="s">
        <v>1157</v>
      </c>
      <c r="I3" s="3" t="s">
        <v>1155</v>
      </c>
      <c r="J3" s="3" t="s">
        <v>1156</v>
      </c>
      <c r="K3" s="3" t="s">
        <v>1157</v>
      </c>
      <c r="L3" s="3" t="s">
        <v>1159</v>
      </c>
    </row>
    <row r="4" spans="1:12" x14ac:dyDescent="0.25">
      <c r="A4" t="s">
        <v>1445</v>
      </c>
      <c r="B4">
        <v>86.3</v>
      </c>
      <c r="C4">
        <v>18.7</v>
      </c>
      <c r="D4">
        <v>9.4</v>
      </c>
      <c r="E4">
        <v>16.100000000000001</v>
      </c>
      <c r="F4">
        <v>13.6</v>
      </c>
      <c r="G4">
        <v>16.5</v>
      </c>
      <c r="H4">
        <v>66.3</v>
      </c>
      <c r="I4">
        <v>16.100000000000001</v>
      </c>
      <c r="J4">
        <v>15.25</v>
      </c>
      <c r="K4">
        <v>80.8</v>
      </c>
      <c r="L4" s="4" t="s">
        <v>1446</v>
      </c>
    </row>
    <row r="5" spans="1:12" x14ac:dyDescent="0.25">
      <c r="A5" t="s">
        <v>1447</v>
      </c>
      <c r="B5">
        <v>86.2</v>
      </c>
      <c r="C5">
        <v>18.7</v>
      </c>
      <c r="D5">
        <v>8.8000000000000007</v>
      </c>
      <c r="E5">
        <v>16</v>
      </c>
      <c r="F5">
        <v>13.5</v>
      </c>
      <c r="G5">
        <v>16.2</v>
      </c>
      <c r="H5">
        <v>65.3</v>
      </c>
      <c r="I5">
        <v>15.9</v>
      </c>
      <c r="K5">
        <v>79.900000000000006</v>
      </c>
      <c r="L5" s="4" t="s">
        <v>1446</v>
      </c>
    </row>
    <row r="6" spans="1:12" x14ac:dyDescent="0.25">
      <c r="A6" t="s">
        <v>1448</v>
      </c>
      <c r="B6">
        <v>90</v>
      </c>
      <c r="C6">
        <v>18.8</v>
      </c>
      <c r="D6">
        <v>8</v>
      </c>
      <c r="E6">
        <v>16.100000000000001</v>
      </c>
      <c r="F6">
        <v>13.6</v>
      </c>
      <c r="G6">
        <v>16.600000000000001</v>
      </c>
      <c r="H6">
        <v>64.2</v>
      </c>
      <c r="I6">
        <v>16.2</v>
      </c>
      <c r="J6">
        <f>AVERAGE(15.2,14.8)</f>
        <v>15</v>
      </c>
      <c r="K6">
        <v>79.7</v>
      </c>
      <c r="L6" s="4" t="s">
        <v>1446</v>
      </c>
    </row>
    <row r="7" spans="1:12" x14ac:dyDescent="0.25">
      <c r="A7" t="s">
        <v>1449</v>
      </c>
      <c r="B7">
        <v>87.2</v>
      </c>
      <c r="C7">
        <v>18.7</v>
      </c>
      <c r="D7">
        <v>9.5</v>
      </c>
      <c r="E7">
        <v>16.2</v>
      </c>
      <c r="F7">
        <v>13.7</v>
      </c>
      <c r="G7">
        <v>16.5</v>
      </c>
      <c r="H7">
        <v>67</v>
      </c>
      <c r="I7">
        <v>16.100000000000001</v>
      </c>
      <c r="J7">
        <v>15.25</v>
      </c>
      <c r="K7">
        <v>81.400000000000006</v>
      </c>
      <c r="L7" s="4" t="s">
        <v>1446</v>
      </c>
    </row>
    <row r="8" spans="1:12" x14ac:dyDescent="0.25">
      <c r="A8" t="s">
        <v>1450</v>
      </c>
      <c r="B8">
        <v>86.7</v>
      </c>
      <c r="C8">
        <v>18.7</v>
      </c>
      <c r="D8">
        <v>9.1999999999999993</v>
      </c>
      <c r="E8">
        <v>16.100000000000001</v>
      </c>
      <c r="F8">
        <v>13.6</v>
      </c>
      <c r="G8">
        <v>16.5</v>
      </c>
      <c r="H8">
        <v>65.8</v>
      </c>
      <c r="I8">
        <v>16.100000000000001</v>
      </c>
      <c r="K8">
        <v>80.3</v>
      </c>
      <c r="L8" s="4" t="s">
        <v>1446</v>
      </c>
    </row>
    <row r="9" spans="1:12" x14ac:dyDescent="0.25">
      <c r="A9" t="s">
        <v>1451</v>
      </c>
      <c r="B9">
        <v>87.2</v>
      </c>
      <c r="C9">
        <v>18.7</v>
      </c>
      <c r="D9">
        <v>9.6999999999999993</v>
      </c>
      <c r="E9">
        <v>16.100000000000001</v>
      </c>
      <c r="F9">
        <v>13.5</v>
      </c>
      <c r="G9">
        <v>16.2</v>
      </c>
      <c r="H9">
        <v>67.099999999999994</v>
      </c>
      <c r="I9">
        <v>15.8</v>
      </c>
      <c r="J9">
        <f>AVERAGE(15.2,14.9)</f>
        <v>15.05</v>
      </c>
      <c r="K9">
        <v>80.2</v>
      </c>
      <c r="L9" s="4" t="s">
        <v>1446</v>
      </c>
    </row>
    <row r="11" spans="1:12" x14ac:dyDescent="0.25">
      <c r="A11" s="5" t="s">
        <v>1168</v>
      </c>
      <c r="B11" s="5">
        <f xml:space="preserve"> AVERAGE(B4,B5,B6,B7,B8,B9)</f>
        <v>87.266666666666666</v>
      </c>
      <c r="C11" s="10">
        <f>AVERAGE(C4:C9)</f>
        <v>18.716666666666669</v>
      </c>
      <c r="D11" s="10">
        <f t="shared" ref="D11" si="0">AVERAGE(D4:D9)</f>
        <v>9.1000000000000014</v>
      </c>
      <c r="E11" s="10">
        <f t="shared" ref="E11:J11" si="1">AVERAGE(E4:E9)</f>
        <v>16.099999999999998</v>
      </c>
      <c r="F11" s="10">
        <f t="shared" si="1"/>
        <v>13.583333333333334</v>
      </c>
      <c r="G11" s="10">
        <f t="shared" si="1"/>
        <v>16.416666666666668</v>
      </c>
      <c r="H11" s="10">
        <f>AVERAGE(H4,H5,H7,H6,H8,H9)</f>
        <v>65.95</v>
      </c>
      <c r="I11" s="10">
        <f t="shared" si="1"/>
        <v>16.033333333333335</v>
      </c>
      <c r="J11" s="10">
        <f t="shared" si="1"/>
        <v>15.137499999999999</v>
      </c>
      <c r="K11" s="10">
        <f>AVERAGE(K4,K5,K6,K7,K8,K9)</f>
        <v>80.383333333333326</v>
      </c>
    </row>
  </sheetData>
  <mergeCells count="2">
    <mergeCell ref="I2:K2"/>
    <mergeCell ref="E2:H2"/>
  </mergeCells>
  <hyperlinks>
    <hyperlink ref="L4" r:id="rId1" xr:uid="{00000000-0004-0000-0800-000000000000}"/>
    <hyperlink ref="L5" r:id="rId2" xr:uid="{00000000-0004-0000-0800-000001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L9"/>
  <sheetViews>
    <sheetView workbookViewId="0">
      <selection activeCell="H21" sqref="H21"/>
    </sheetView>
  </sheetViews>
  <sheetFormatPr defaultColWidth="8.85546875" defaultRowHeight="15" x14ac:dyDescent="0.25"/>
  <cols>
    <col min="1" max="1" width="23.42578125" bestFit="1" customWidth="1"/>
    <col min="2" max="2" width="23.42578125" customWidth="1"/>
    <col min="3" max="4" width="9.7109375" bestFit="1" customWidth="1"/>
    <col min="5" max="5" width="10.140625" bestFit="1" customWidth="1"/>
    <col min="6" max="6" width="10.140625" customWidth="1"/>
    <col min="7" max="7" width="6.28515625" bestFit="1" customWidth="1"/>
    <col min="8" max="8" width="14.85546875" bestFit="1" customWidth="1"/>
    <col min="9" max="9" width="17.7109375" bestFit="1" customWidth="1"/>
    <col min="10" max="10" width="17.7109375" customWidth="1"/>
    <col min="11" max="11" width="9" bestFit="1" customWidth="1"/>
    <col min="12" max="12" width="35.28515625" bestFit="1" customWidth="1"/>
  </cols>
  <sheetData>
    <row r="1" spans="1:12" ht="18.75" x14ac:dyDescent="0.25">
      <c r="A1" s="2" t="s">
        <v>112</v>
      </c>
      <c r="B1" s="2"/>
    </row>
    <row r="2" spans="1:12" ht="18.75" x14ac:dyDescent="0.25">
      <c r="A2" s="2"/>
      <c r="B2" s="2"/>
      <c r="C2" s="82" t="s">
        <v>1146</v>
      </c>
      <c r="D2" s="82"/>
      <c r="E2" s="82"/>
      <c r="F2" s="82"/>
      <c r="G2" s="82" t="s">
        <v>1147</v>
      </c>
      <c r="H2" s="82"/>
      <c r="I2" s="82"/>
      <c r="J2" s="82"/>
      <c r="K2" s="8"/>
    </row>
    <row r="3" spans="1:12" x14ac:dyDescent="0.25">
      <c r="A3" s="3" t="s">
        <v>1148</v>
      </c>
      <c r="B3" s="3" t="s">
        <v>1209</v>
      </c>
      <c r="C3" s="3" t="s">
        <v>1150</v>
      </c>
      <c r="D3" s="3" t="s">
        <v>1151</v>
      </c>
      <c r="E3" s="3" t="s">
        <v>1152</v>
      </c>
      <c r="F3" s="3" t="s">
        <v>1157</v>
      </c>
      <c r="G3" s="3" t="s">
        <v>1225</v>
      </c>
      <c r="H3" s="3" t="s">
        <v>1155</v>
      </c>
      <c r="I3" s="3" t="s">
        <v>1156</v>
      </c>
      <c r="J3" s="3" t="s">
        <v>1157</v>
      </c>
      <c r="K3" s="3" t="s">
        <v>1158</v>
      </c>
      <c r="L3" s="3" t="s">
        <v>1159</v>
      </c>
    </row>
    <row r="4" spans="1:12" x14ac:dyDescent="0.25">
      <c r="A4" t="s">
        <v>1452</v>
      </c>
      <c r="B4">
        <v>89</v>
      </c>
      <c r="C4">
        <v>17.7</v>
      </c>
      <c r="D4">
        <v>14</v>
      </c>
      <c r="E4">
        <v>11.8</v>
      </c>
      <c r="G4">
        <v>14.4</v>
      </c>
      <c r="K4">
        <v>8.9</v>
      </c>
      <c r="L4" s="4" t="s">
        <v>1453</v>
      </c>
    </row>
    <row r="5" spans="1:12" x14ac:dyDescent="0.25">
      <c r="A5" t="s">
        <v>1454</v>
      </c>
      <c r="B5">
        <v>89.6</v>
      </c>
      <c r="C5">
        <v>19.100000000000001</v>
      </c>
      <c r="D5">
        <f>C5*0.833</f>
        <v>15.910300000000001</v>
      </c>
      <c r="E5">
        <v>13.3</v>
      </c>
      <c r="F5">
        <v>68.7</v>
      </c>
      <c r="G5">
        <v>14.2</v>
      </c>
      <c r="H5">
        <v>13.8</v>
      </c>
      <c r="I5">
        <v>13.2</v>
      </c>
      <c r="J5">
        <v>74.400000000000006</v>
      </c>
      <c r="K5">
        <v>12.5</v>
      </c>
      <c r="L5" s="4" t="s">
        <v>1455</v>
      </c>
    </row>
    <row r="6" spans="1:12" x14ac:dyDescent="0.25">
      <c r="A6" t="s">
        <v>1456</v>
      </c>
      <c r="B6">
        <v>90.2</v>
      </c>
      <c r="C6">
        <v>18.8</v>
      </c>
      <c r="G6">
        <v>14.3</v>
      </c>
      <c r="H6">
        <v>13.8</v>
      </c>
      <c r="I6">
        <v>14.3</v>
      </c>
      <c r="K6">
        <v>11.9</v>
      </c>
      <c r="L6" s="4" t="s">
        <v>1457</v>
      </c>
    </row>
    <row r="7" spans="1:12" x14ac:dyDescent="0.25">
      <c r="A7" t="s">
        <v>1458</v>
      </c>
      <c r="B7">
        <v>90.6</v>
      </c>
      <c r="C7">
        <v>19.3</v>
      </c>
      <c r="D7">
        <f>C7*0.805</f>
        <v>15.536500000000002</v>
      </c>
      <c r="E7">
        <v>12.8</v>
      </c>
      <c r="F7">
        <v>70.400000000000006</v>
      </c>
      <c r="G7">
        <v>14.9</v>
      </c>
      <c r="H7">
        <v>14.5</v>
      </c>
      <c r="I7">
        <f>AVERAGE(15.7,15.3)</f>
        <v>15.5</v>
      </c>
      <c r="J7">
        <v>78.599999999999994</v>
      </c>
      <c r="K7">
        <v>14.2</v>
      </c>
      <c r="L7" s="4" t="s">
        <v>1459</v>
      </c>
    </row>
    <row r="9" spans="1:12" x14ac:dyDescent="0.25">
      <c r="A9" s="5" t="s">
        <v>1168</v>
      </c>
      <c r="B9" s="5">
        <f xml:space="preserve"> AVERAGE(B4,B5,B6,B7)</f>
        <v>89.85</v>
      </c>
      <c r="C9" s="6">
        <f>AVERAGE(C4:C7)</f>
        <v>18.724999999999998</v>
      </c>
      <c r="D9" s="6">
        <f t="shared" ref="D9:I9" si="0">AVERAGE(D4:D7)</f>
        <v>15.148933333333334</v>
      </c>
      <c r="E9" s="6">
        <f t="shared" si="0"/>
        <v>12.633333333333335</v>
      </c>
      <c r="F9" s="6"/>
      <c r="G9" s="6">
        <f t="shared" si="0"/>
        <v>14.450000000000001</v>
      </c>
      <c r="H9" s="6">
        <f t="shared" si="0"/>
        <v>14.033333333333333</v>
      </c>
      <c r="I9" s="6">
        <f t="shared" si="0"/>
        <v>14.333333333333334</v>
      </c>
      <c r="J9" s="6">
        <f>AVERAGE(J5,J7)</f>
        <v>76.5</v>
      </c>
      <c r="K9" s="6">
        <f>AVERAGE(K4:K7)</f>
        <v>11.875</v>
      </c>
    </row>
  </sheetData>
  <mergeCells count="2">
    <mergeCell ref="G2:J2"/>
    <mergeCell ref="C2:F2"/>
  </mergeCells>
  <hyperlinks>
    <hyperlink ref="L4" r:id="rId1" xr:uid="{00000000-0004-0000-0900-000000000000}"/>
    <hyperlink ref="L5" r:id="rId2" xr:uid="{00000000-0004-0000-0900-000001000000}"/>
    <hyperlink ref="L6" r:id="rId3" xr:uid="{00000000-0004-0000-0900-000002000000}"/>
    <hyperlink ref="L7" r:id="rId4" xr:uid="{00000000-0004-0000-0900-000003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6"/>
  <dimension ref="A1:L7"/>
  <sheetViews>
    <sheetView workbookViewId="0">
      <selection activeCell="L6" sqref="L6"/>
    </sheetView>
  </sheetViews>
  <sheetFormatPr defaultColWidth="8.85546875" defaultRowHeight="15" x14ac:dyDescent="0.25"/>
  <cols>
    <col min="1" max="1" width="23.42578125" bestFit="1" customWidth="1"/>
    <col min="2" max="2" width="23.42578125" customWidth="1"/>
    <col min="3" max="4" width="9.7109375" bestFit="1" customWidth="1"/>
    <col min="5" max="5" width="10.140625" bestFit="1" customWidth="1"/>
    <col min="6" max="6" width="10.140625" customWidth="1"/>
    <col min="7" max="7" width="6.28515625" bestFit="1" customWidth="1"/>
    <col min="8" max="8" width="14.85546875" bestFit="1" customWidth="1"/>
    <col min="9" max="9" width="17.7109375" bestFit="1" customWidth="1"/>
    <col min="10" max="10" width="17.7109375" customWidth="1"/>
    <col min="11" max="11" width="9" bestFit="1" customWidth="1"/>
    <col min="12" max="12" width="35.28515625" bestFit="1" customWidth="1"/>
  </cols>
  <sheetData>
    <row r="1" spans="1:12" ht="18.75" x14ac:dyDescent="0.25">
      <c r="A1" s="2" t="s">
        <v>1460</v>
      </c>
      <c r="B1" s="2"/>
    </row>
    <row r="2" spans="1:12" ht="18.75" x14ac:dyDescent="0.25">
      <c r="A2" s="2"/>
      <c r="B2" s="2"/>
      <c r="D2" s="82" t="s">
        <v>1146</v>
      </c>
      <c r="E2" s="82"/>
      <c r="F2" s="8"/>
      <c r="G2" s="82" t="s">
        <v>1147</v>
      </c>
      <c r="H2" s="82"/>
      <c r="I2" s="82"/>
      <c r="J2" s="82"/>
      <c r="K2" s="8"/>
    </row>
    <row r="3" spans="1:12" x14ac:dyDescent="0.25">
      <c r="A3" s="3" t="s">
        <v>1148</v>
      </c>
      <c r="B3" s="3" t="s">
        <v>1149</v>
      </c>
      <c r="C3" s="3" t="s">
        <v>1150</v>
      </c>
      <c r="D3" s="3" t="s">
        <v>1151</v>
      </c>
      <c r="E3" s="3" t="s">
        <v>1152</v>
      </c>
      <c r="F3" s="3" t="s">
        <v>1157</v>
      </c>
      <c r="G3" s="3" t="s">
        <v>1225</v>
      </c>
      <c r="H3" s="3" t="s">
        <v>1155</v>
      </c>
      <c r="I3" s="3" t="s">
        <v>1156</v>
      </c>
      <c r="J3" s="3" t="s">
        <v>1157</v>
      </c>
      <c r="K3" s="3" t="s">
        <v>1158</v>
      </c>
      <c r="L3" s="3" t="s">
        <v>1159</v>
      </c>
    </row>
    <row r="4" spans="1:12" x14ac:dyDescent="0.25">
      <c r="A4" t="s">
        <v>1461</v>
      </c>
      <c r="B4">
        <v>88</v>
      </c>
      <c r="C4">
        <v>19.7</v>
      </c>
      <c r="D4">
        <f>C4*0.916</f>
        <v>18.045200000000001</v>
      </c>
      <c r="E4">
        <v>13.4</v>
      </c>
      <c r="F4">
        <v>80.2</v>
      </c>
      <c r="G4">
        <v>17.3</v>
      </c>
      <c r="H4">
        <v>15.8</v>
      </c>
      <c r="I4">
        <v>11.3</v>
      </c>
      <c r="J4">
        <v>90.1</v>
      </c>
      <c r="K4">
        <v>55.2</v>
      </c>
      <c r="L4" s="4" t="s">
        <v>1462</v>
      </c>
    </row>
    <row r="5" spans="1:12" x14ac:dyDescent="0.25">
      <c r="A5" t="s">
        <v>1463</v>
      </c>
      <c r="B5">
        <v>88</v>
      </c>
      <c r="C5">
        <v>19.7</v>
      </c>
      <c r="D5">
        <f>C5*0.907</f>
        <v>17.867899999999999</v>
      </c>
      <c r="E5">
        <v>13.3</v>
      </c>
      <c r="F5">
        <v>80.2</v>
      </c>
      <c r="G5">
        <v>16.8</v>
      </c>
      <c r="H5">
        <v>15.3</v>
      </c>
      <c r="I5">
        <v>10.8</v>
      </c>
      <c r="J5">
        <v>86.7</v>
      </c>
      <c r="K5">
        <v>52.6</v>
      </c>
      <c r="L5" s="4" t="s">
        <v>1464</v>
      </c>
    </row>
    <row r="7" spans="1:12" x14ac:dyDescent="0.25">
      <c r="A7" s="5" t="s">
        <v>1168</v>
      </c>
      <c r="B7" s="5">
        <f>AVERAGE(B4,B5)</f>
        <v>88</v>
      </c>
      <c r="C7" s="6">
        <f t="shared" ref="C7:K7" si="0">AVERAGE(C4:C5)</f>
        <v>19.7</v>
      </c>
      <c r="D7" s="6">
        <f t="shared" si="0"/>
        <v>17.95655</v>
      </c>
      <c r="E7" s="6">
        <f t="shared" si="0"/>
        <v>13.350000000000001</v>
      </c>
      <c r="F7" s="6"/>
      <c r="G7" s="6">
        <f t="shared" si="0"/>
        <v>17.05</v>
      </c>
      <c r="H7" s="6">
        <f t="shared" si="0"/>
        <v>15.55</v>
      </c>
      <c r="I7" s="6">
        <f t="shared" si="0"/>
        <v>11.05</v>
      </c>
      <c r="J7" s="6">
        <f>AVERAGE(J4,J5)</f>
        <v>88.4</v>
      </c>
      <c r="K7" s="6">
        <f t="shared" si="0"/>
        <v>53.900000000000006</v>
      </c>
    </row>
  </sheetData>
  <mergeCells count="2">
    <mergeCell ref="D2:E2"/>
    <mergeCell ref="G2:J2"/>
  </mergeCells>
  <hyperlinks>
    <hyperlink ref="L4" r:id="rId1" xr:uid="{5BD8E3D9-1862-534C-B43A-19CFC61795DF}"/>
    <hyperlink ref="L5" r:id="rId2" xr:uid="{78CA6559-CFBA-E144-BD4B-E60FC78B00B6}"/>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dimension ref="A1:L7"/>
  <sheetViews>
    <sheetView workbookViewId="0">
      <selection activeCell="I15" sqref="I15"/>
    </sheetView>
  </sheetViews>
  <sheetFormatPr defaultColWidth="8.85546875" defaultRowHeight="15" x14ac:dyDescent="0.25"/>
  <cols>
    <col min="1" max="1" width="23.42578125" bestFit="1" customWidth="1"/>
    <col min="2" max="2" width="23.42578125" customWidth="1"/>
    <col min="3" max="4" width="9.7109375" bestFit="1" customWidth="1"/>
    <col min="5" max="5" width="10.140625" bestFit="1" customWidth="1"/>
    <col min="6" max="6" width="10.140625" customWidth="1"/>
    <col min="7" max="7" width="6.28515625" bestFit="1" customWidth="1"/>
    <col min="8" max="8" width="14.85546875" bestFit="1" customWidth="1"/>
    <col min="9" max="9" width="17.7109375" bestFit="1" customWidth="1"/>
    <col min="10" max="10" width="17.7109375" customWidth="1"/>
    <col min="11" max="11" width="9" bestFit="1" customWidth="1"/>
    <col min="12" max="12" width="35.28515625" bestFit="1" customWidth="1"/>
  </cols>
  <sheetData>
    <row r="1" spans="1:12" ht="18.75" x14ac:dyDescent="0.25">
      <c r="A1" s="2" t="s">
        <v>1465</v>
      </c>
      <c r="B1" s="2"/>
    </row>
    <row r="2" spans="1:12" ht="18.75" x14ac:dyDescent="0.25">
      <c r="A2" s="2"/>
      <c r="B2" s="2"/>
      <c r="D2" s="82" t="s">
        <v>1146</v>
      </c>
      <c r="E2" s="82"/>
      <c r="F2" s="82"/>
      <c r="G2" s="82" t="s">
        <v>1147</v>
      </c>
      <c r="H2" s="82"/>
      <c r="I2" s="82"/>
      <c r="J2" s="82"/>
      <c r="K2" s="8"/>
    </row>
    <row r="3" spans="1:12" x14ac:dyDescent="0.25">
      <c r="A3" s="3" t="s">
        <v>1148</v>
      </c>
      <c r="B3" s="3" t="s">
        <v>1466</v>
      </c>
      <c r="C3" s="3" t="s">
        <v>1150</v>
      </c>
      <c r="D3" s="3" t="s">
        <v>1151</v>
      </c>
      <c r="E3" s="3" t="s">
        <v>1152</v>
      </c>
      <c r="F3" s="3" t="s">
        <v>1153</v>
      </c>
      <c r="G3" s="3" t="s">
        <v>1225</v>
      </c>
      <c r="H3" s="3" t="s">
        <v>1155</v>
      </c>
      <c r="I3" s="3" t="s">
        <v>1156</v>
      </c>
      <c r="J3" s="3" t="s">
        <v>1153</v>
      </c>
      <c r="K3" s="3" t="s">
        <v>1158</v>
      </c>
      <c r="L3" s="3" t="s">
        <v>1159</v>
      </c>
    </row>
    <row r="4" spans="1:12" x14ac:dyDescent="0.25">
      <c r="A4" t="s">
        <v>1467</v>
      </c>
      <c r="B4">
        <v>90.6</v>
      </c>
      <c r="C4">
        <v>19.7</v>
      </c>
      <c r="D4">
        <f>C4*0.916</f>
        <v>18.045200000000001</v>
      </c>
      <c r="E4">
        <v>13.4</v>
      </c>
      <c r="F4">
        <v>76.599999999999994</v>
      </c>
      <c r="G4">
        <v>17.3</v>
      </c>
      <c r="H4">
        <v>15.8</v>
      </c>
      <c r="I4">
        <v>11.3</v>
      </c>
      <c r="J4">
        <v>87.5</v>
      </c>
      <c r="K4">
        <v>55.2</v>
      </c>
      <c r="L4" s="4" t="s">
        <v>1468</v>
      </c>
    </row>
    <row r="5" spans="1:12" x14ac:dyDescent="0.25">
      <c r="A5" t="s">
        <v>1469</v>
      </c>
      <c r="B5">
        <v>87.6</v>
      </c>
      <c r="C5">
        <v>19.7</v>
      </c>
      <c r="D5">
        <f>C5*0.907</f>
        <v>17.867899999999999</v>
      </c>
      <c r="E5">
        <v>13.3</v>
      </c>
      <c r="F5">
        <v>76.900000000000006</v>
      </c>
      <c r="G5">
        <v>16.8</v>
      </c>
      <c r="H5">
        <v>15.3</v>
      </c>
      <c r="I5">
        <v>10.8</v>
      </c>
      <c r="J5">
        <v>87.8</v>
      </c>
      <c r="K5">
        <v>52.6</v>
      </c>
      <c r="L5" s="4" t="s">
        <v>1470</v>
      </c>
    </row>
    <row r="7" spans="1:12" x14ac:dyDescent="0.25">
      <c r="A7" s="5" t="s">
        <v>1168</v>
      </c>
      <c r="B7" s="6">
        <f t="shared" ref="B7:K7" si="0">AVERAGE(B4:B5)</f>
        <v>89.1</v>
      </c>
      <c r="C7" s="6">
        <f t="shared" si="0"/>
        <v>19.7</v>
      </c>
      <c r="D7" s="6">
        <f t="shared" si="0"/>
        <v>17.95655</v>
      </c>
      <c r="E7" s="6">
        <f t="shared" si="0"/>
        <v>13.350000000000001</v>
      </c>
      <c r="F7" s="6">
        <f t="shared" si="0"/>
        <v>76.75</v>
      </c>
      <c r="G7" s="6">
        <f t="shared" si="0"/>
        <v>17.05</v>
      </c>
      <c r="H7" s="6">
        <f t="shared" si="0"/>
        <v>15.55</v>
      </c>
      <c r="I7" s="6">
        <f t="shared" si="0"/>
        <v>11.05</v>
      </c>
      <c r="J7" s="6">
        <f t="shared" si="0"/>
        <v>87.65</v>
      </c>
      <c r="K7" s="6">
        <f t="shared" si="0"/>
        <v>53.900000000000006</v>
      </c>
    </row>
  </sheetData>
  <mergeCells count="2">
    <mergeCell ref="D2:F2"/>
    <mergeCell ref="G2:J2"/>
  </mergeCells>
  <hyperlinks>
    <hyperlink ref="L4" r:id="rId1" xr:uid="{58792085-155E-434E-B21C-7477B071ADF5}"/>
    <hyperlink ref="L5" r:id="rId2" xr:uid="{8C7C167A-E40A-ED40-82AD-B16A884BF8E7}"/>
  </hyperlinks>
  <pageMargins left="0.7" right="0.7" top="0.75" bottom="0.75" header="0.3" footer="0.3"/>
  <pageSetup orientation="portrait" r:id="rId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8"/>
  <dimension ref="A1:L7"/>
  <sheetViews>
    <sheetView workbookViewId="0">
      <selection activeCell="F11" sqref="F11"/>
    </sheetView>
  </sheetViews>
  <sheetFormatPr defaultColWidth="8.85546875" defaultRowHeight="15" x14ac:dyDescent="0.25"/>
  <cols>
    <col min="1" max="2" width="33.28515625" customWidth="1"/>
    <col min="3" max="4" width="9.7109375" bestFit="1" customWidth="1"/>
    <col min="5" max="5" width="10.140625" bestFit="1" customWidth="1"/>
    <col min="6" max="6" width="10.140625" customWidth="1"/>
    <col min="7" max="7" width="6.28515625" bestFit="1" customWidth="1"/>
    <col min="8" max="8" width="14.85546875" bestFit="1" customWidth="1"/>
    <col min="9" max="9" width="17.7109375" bestFit="1" customWidth="1"/>
    <col min="10" max="10" width="17.7109375" customWidth="1"/>
    <col min="11" max="11" width="9" bestFit="1" customWidth="1"/>
    <col min="12" max="12" width="35.28515625" bestFit="1" customWidth="1"/>
  </cols>
  <sheetData>
    <row r="1" spans="1:12" ht="18.75" x14ac:dyDescent="0.25">
      <c r="A1" s="2" t="s">
        <v>1471</v>
      </c>
      <c r="B1" s="2"/>
    </row>
    <row r="2" spans="1:12" ht="18.75" x14ac:dyDescent="0.25">
      <c r="A2" s="2"/>
      <c r="B2" s="2"/>
      <c r="D2" s="82" t="s">
        <v>1146</v>
      </c>
      <c r="E2" s="82"/>
      <c r="F2" s="8"/>
      <c r="G2" s="82" t="s">
        <v>1147</v>
      </c>
      <c r="H2" s="82"/>
      <c r="I2" s="82"/>
      <c r="J2" s="8"/>
      <c r="K2" s="8"/>
    </row>
    <row r="3" spans="1:12" x14ac:dyDescent="0.25">
      <c r="A3" s="3" t="s">
        <v>1148</v>
      </c>
      <c r="B3" s="3" t="s">
        <v>1466</v>
      </c>
      <c r="C3" s="3" t="s">
        <v>1150</v>
      </c>
      <c r="D3" s="3" t="s">
        <v>1151</v>
      </c>
      <c r="E3" s="3" t="s">
        <v>1152</v>
      </c>
      <c r="F3" s="3" t="s">
        <v>1157</v>
      </c>
      <c r="G3" s="3" t="s">
        <v>1225</v>
      </c>
      <c r="H3" s="3" t="s">
        <v>1155</v>
      </c>
      <c r="I3" s="3" t="s">
        <v>1156</v>
      </c>
      <c r="J3" s="3" t="s">
        <v>1157</v>
      </c>
      <c r="K3" s="3" t="s">
        <v>1158</v>
      </c>
      <c r="L3" s="3" t="s">
        <v>1159</v>
      </c>
    </row>
    <row r="4" spans="1:12" x14ac:dyDescent="0.25">
      <c r="A4" t="s">
        <v>1472</v>
      </c>
      <c r="B4">
        <v>91.5</v>
      </c>
      <c r="C4">
        <v>20.100000000000001</v>
      </c>
      <c r="D4">
        <v>15.9</v>
      </c>
      <c r="E4">
        <v>12.8</v>
      </c>
      <c r="F4">
        <v>76.5</v>
      </c>
      <c r="G4">
        <v>11.2</v>
      </c>
      <c r="H4">
        <v>10.4</v>
      </c>
      <c r="I4">
        <v>8.6999999999999993</v>
      </c>
      <c r="J4">
        <v>70.900000000000006</v>
      </c>
      <c r="K4">
        <v>22.4</v>
      </c>
      <c r="L4" s="4" t="s">
        <v>1473</v>
      </c>
    </row>
    <row r="5" spans="1:12" x14ac:dyDescent="0.25">
      <c r="A5" t="s">
        <v>1474</v>
      </c>
      <c r="B5">
        <v>89.8</v>
      </c>
      <c r="C5">
        <v>18.7</v>
      </c>
      <c r="D5" s="1">
        <v>14.5</v>
      </c>
      <c r="E5">
        <v>11.5</v>
      </c>
      <c r="F5">
        <v>76.7</v>
      </c>
      <c r="G5">
        <v>9.9</v>
      </c>
      <c r="H5">
        <v>9.1999999999999993</v>
      </c>
      <c r="J5">
        <v>67.900000000000006</v>
      </c>
      <c r="K5">
        <v>23.5</v>
      </c>
      <c r="L5" s="4" t="s">
        <v>1475</v>
      </c>
    </row>
    <row r="7" spans="1:12" x14ac:dyDescent="0.25">
      <c r="A7" s="5" t="s">
        <v>1168</v>
      </c>
      <c r="B7" s="6">
        <f t="shared" ref="B7:K7" si="0">AVERAGE(B4:B5)</f>
        <v>90.65</v>
      </c>
      <c r="C7" s="6">
        <f t="shared" si="0"/>
        <v>19.399999999999999</v>
      </c>
      <c r="D7" s="6">
        <f t="shared" si="0"/>
        <v>15.2</v>
      </c>
      <c r="E7" s="6">
        <f t="shared" si="0"/>
        <v>12.15</v>
      </c>
      <c r="F7" s="6">
        <f t="shared" si="0"/>
        <v>76.599999999999994</v>
      </c>
      <c r="G7" s="6">
        <f t="shared" si="0"/>
        <v>10.55</v>
      </c>
      <c r="H7" s="6">
        <f t="shared" si="0"/>
        <v>9.8000000000000007</v>
      </c>
      <c r="I7" s="6">
        <f t="shared" si="0"/>
        <v>8.6999999999999993</v>
      </c>
      <c r="J7" s="6">
        <f t="shared" si="0"/>
        <v>69.400000000000006</v>
      </c>
      <c r="K7" s="6">
        <f t="shared" si="0"/>
        <v>22.95</v>
      </c>
    </row>
  </sheetData>
  <mergeCells count="2">
    <mergeCell ref="D2:E2"/>
    <mergeCell ref="G2:I2"/>
  </mergeCells>
  <hyperlinks>
    <hyperlink ref="L4" r:id="rId1" xr:uid="{1CEBA44C-4A37-E544-9DC9-34D811848CDA}"/>
    <hyperlink ref="L5" r:id="rId2" xr:uid="{6E05499E-E645-C240-86FD-B22D10756FC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9"/>
  <dimension ref="A1:L8"/>
  <sheetViews>
    <sheetView workbookViewId="0">
      <selection activeCell="F10" sqref="F10"/>
    </sheetView>
  </sheetViews>
  <sheetFormatPr defaultColWidth="8.85546875" defaultRowHeight="15" x14ac:dyDescent="0.25"/>
  <cols>
    <col min="1" max="1" width="23.42578125" bestFit="1" customWidth="1"/>
    <col min="2" max="2" width="23.42578125" customWidth="1"/>
    <col min="3" max="4" width="9.7109375" bestFit="1" customWidth="1"/>
    <col min="5" max="5" width="10.140625" bestFit="1" customWidth="1"/>
    <col min="6" max="6" width="10.140625" customWidth="1"/>
    <col min="7" max="7" width="6.28515625" bestFit="1" customWidth="1"/>
    <col min="8" max="8" width="14.85546875" bestFit="1" customWidth="1"/>
    <col min="9" max="9" width="17.7109375" bestFit="1" customWidth="1"/>
    <col min="10" max="10" width="17.7109375" customWidth="1"/>
    <col min="11" max="11" width="9" bestFit="1" customWidth="1"/>
    <col min="12" max="12" width="35.28515625" bestFit="1" customWidth="1"/>
  </cols>
  <sheetData>
    <row r="1" spans="1:12" ht="18.75" x14ac:dyDescent="0.25">
      <c r="A1" s="2" t="s">
        <v>1476</v>
      </c>
      <c r="B1" s="2"/>
    </row>
    <row r="2" spans="1:12" ht="18.75" x14ac:dyDescent="0.25">
      <c r="A2" s="2"/>
      <c r="B2" s="2"/>
      <c r="D2" s="82" t="s">
        <v>1146</v>
      </c>
      <c r="E2" s="82"/>
      <c r="F2" s="82"/>
      <c r="G2" s="82" t="s">
        <v>1147</v>
      </c>
      <c r="H2" s="82"/>
      <c r="I2" s="82"/>
      <c r="J2" s="82"/>
      <c r="K2" s="8"/>
    </row>
    <row r="3" spans="1:12" x14ac:dyDescent="0.25">
      <c r="A3" s="3" t="s">
        <v>1148</v>
      </c>
      <c r="B3" s="3" t="s">
        <v>1149</v>
      </c>
      <c r="C3" s="3" t="s">
        <v>1150</v>
      </c>
      <c r="D3" s="3" t="s">
        <v>1151</v>
      </c>
      <c r="E3" s="3" t="s">
        <v>1152</v>
      </c>
      <c r="F3" s="3" t="s">
        <v>1157</v>
      </c>
      <c r="G3" s="3" t="s">
        <v>1225</v>
      </c>
      <c r="H3" s="3" t="s">
        <v>1155</v>
      </c>
      <c r="I3" s="3" t="s">
        <v>1156</v>
      </c>
      <c r="J3" s="3" t="s">
        <v>1157</v>
      </c>
      <c r="K3" s="3" t="s">
        <v>1158</v>
      </c>
      <c r="L3" s="3" t="s">
        <v>1159</v>
      </c>
    </row>
    <row r="4" spans="1:12" x14ac:dyDescent="0.25">
      <c r="A4" t="s">
        <v>1477</v>
      </c>
      <c r="B4">
        <v>90.4</v>
      </c>
      <c r="C4">
        <v>20</v>
      </c>
      <c r="D4">
        <v>16.899999999999999</v>
      </c>
      <c r="E4">
        <v>12.6</v>
      </c>
      <c r="G4">
        <v>15.8</v>
      </c>
      <c r="H4">
        <v>14.5</v>
      </c>
      <c r="J4">
        <v>81</v>
      </c>
      <c r="K4">
        <v>53.3</v>
      </c>
      <c r="L4" s="4" t="s">
        <v>1478</v>
      </c>
    </row>
    <row r="5" spans="1:12" x14ac:dyDescent="0.25">
      <c r="A5" t="s">
        <v>1479</v>
      </c>
      <c r="B5">
        <v>89.4</v>
      </c>
      <c r="C5">
        <v>20.2</v>
      </c>
      <c r="D5">
        <v>16.7</v>
      </c>
      <c r="E5">
        <v>12.3</v>
      </c>
      <c r="F5">
        <v>79.400000000000006</v>
      </c>
      <c r="G5">
        <f>C5*0.761</f>
        <v>15.372199999999999</v>
      </c>
      <c r="H5">
        <v>15.4</v>
      </c>
      <c r="I5">
        <v>11.6</v>
      </c>
      <c r="J5">
        <v>85.4</v>
      </c>
      <c r="K5">
        <v>54.5</v>
      </c>
      <c r="L5" s="4" t="s">
        <v>1480</v>
      </c>
    </row>
    <row r="6" spans="1:12" x14ac:dyDescent="0.25">
      <c r="A6" t="s">
        <v>1481</v>
      </c>
      <c r="B6">
        <v>92.3</v>
      </c>
      <c r="C6">
        <v>21.7</v>
      </c>
      <c r="D6">
        <v>18.5</v>
      </c>
      <c r="E6">
        <v>14</v>
      </c>
      <c r="F6">
        <v>94</v>
      </c>
      <c r="G6">
        <v>17.2</v>
      </c>
      <c r="H6">
        <v>16</v>
      </c>
      <c r="I6">
        <v>11.7</v>
      </c>
      <c r="J6">
        <v>83</v>
      </c>
      <c r="K6">
        <v>49.1</v>
      </c>
      <c r="L6" s="4" t="s">
        <v>1482</v>
      </c>
    </row>
    <row r="8" spans="1:12" x14ac:dyDescent="0.25">
      <c r="A8" s="5" t="s">
        <v>1168</v>
      </c>
      <c r="B8" s="5">
        <f>AVERAGE(B4,B5,B6)</f>
        <v>90.7</v>
      </c>
      <c r="C8" s="6">
        <f t="shared" ref="C8:K8" si="0">AVERAGE(C4:C6)</f>
        <v>20.633333333333336</v>
      </c>
      <c r="D8" s="6">
        <f t="shared" si="0"/>
        <v>17.366666666666664</v>
      </c>
      <c r="E8" s="6">
        <f t="shared" si="0"/>
        <v>12.966666666666667</v>
      </c>
      <c r="F8" s="6">
        <f t="shared" si="0"/>
        <v>86.7</v>
      </c>
      <c r="G8" s="6">
        <f t="shared" si="0"/>
        <v>16.124066666666668</v>
      </c>
      <c r="H8" s="6">
        <f t="shared" si="0"/>
        <v>15.299999999999999</v>
      </c>
      <c r="I8" s="6">
        <f t="shared" si="0"/>
        <v>11.649999999999999</v>
      </c>
      <c r="J8" s="6">
        <f>AVERAGE(J4,J5,J6)</f>
        <v>83.13333333333334</v>
      </c>
      <c r="K8" s="6">
        <f t="shared" si="0"/>
        <v>52.300000000000004</v>
      </c>
    </row>
  </sheetData>
  <mergeCells count="2">
    <mergeCell ref="G2:J2"/>
    <mergeCell ref="D2:F2"/>
  </mergeCells>
  <hyperlinks>
    <hyperlink ref="L5" r:id="rId1" xr:uid="{00000000-0004-0000-0D00-000000000000}"/>
    <hyperlink ref="L6" r:id="rId2" xr:uid="{00000000-0004-0000-0D00-000001000000}"/>
    <hyperlink ref="L4" r:id="rId3" xr:uid="{975F04C3-CB82-C942-81FF-FB35CA5A0406}"/>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FE649-5EAA-6B47-BA52-CF26DFD3E219}">
  <dimension ref="A1:L8"/>
  <sheetViews>
    <sheetView workbookViewId="0">
      <selection sqref="A1:L3"/>
    </sheetView>
  </sheetViews>
  <sheetFormatPr defaultColWidth="11.42578125" defaultRowHeight="15" x14ac:dyDescent="0.25"/>
  <cols>
    <col min="1" max="1" width="23.7109375" customWidth="1"/>
  </cols>
  <sheetData>
    <row r="1" spans="1:12" ht="18.75" x14ac:dyDescent="0.25">
      <c r="A1" s="2" t="s">
        <v>1483</v>
      </c>
      <c r="B1" s="2"/>
    </row>
    <row r="2" spans="1:12" ht="18.75" x14ac:dyDescent="0.25">
      <c r="A2" s="2"/>
      <c r="B2" s="2"/>
      <c r="C2" s="82" t="s">
        <v>1146</v>
      </c>
      <c r="D2" s="82"/>
      <c r="E2" s="82"/>
      <c r="F2" s="82"/>
      <c r="G2" s="82" t="s">
        <v>1147</v>
      </c>
      <c r="H2" s="82"/>
      <c r="I2" s="82"/>
      <c r="J2" s="82"/>
      <c r="K2" s="8"/>
    </row>
    <row r="3" spans="1:12" x14ac:dyDescent="0.25">
      <c r="A3" s="3" t="s">
        <v>1148</v>
      </c>
      <c r="B3" s="3" t="s">
        <v>1466</v>
      </c>
      <c r="C3" s="3" t="s">
        <v>1150</v>
      </c>
      <c r="D3" s="3" t="s">
        <v>1151</v>
      </c>
      <c r="E3" s="3" t="s">
        <v>1152</v>
      </c>
      <c r="F3" s="3" t="s">
        <v>1157</v>
      </c>
      <c r="G3" s="3" t="s">
        <v>1484</v>
      </c>
      <c r="H3" s="3" t="s">
        <v>1155</v>
      </c>
      <c r="I3" s="3" t="s">
        <v>1156</v>
      </c>
      <c r="J3" s="3" t="s">
        <v>1153</v>
      </c>
      <c r="K3" s="3" t="s">
        <v>1158</v>
      </c>
      <c r="L3" s="3" t="s">
        <v>1159</v>
      </c>
    </row>
    <row r="4" spans="1:12" x14ac:dyDescent="0.25">
      <c r="A4" t="s">
        <v>1485</v>
      </c>
      <c r="B4">
        <v>89.7</v>
      </c>
      <c r="C4">
        <v>17.899999999999999</v>
      </c>
      <c r="D4">
        <v>14</v>
      </c>
      <c r="E4">
        <v>11.4</v>
      </c>
      <c r="F4">
        <v>72.7</v>
      </c>
      <c r="G4">
        <v>13.4</v>
      </c>
      <c r="H4">
        <v>12.7</v>
      </c>
      <c r="I4">
        <f>AVERAGE(9.9,9.6)</f>
        <v>9.75</v>
      </c>
      <c r="J4">
        <v>62.7</v>
      </c>
      <c r="K4">
        <v>16</v>
      </c>
      <c r="L4" t="s">
        <v>1486</v>
      </c>
    </row>
    <row r="5" spans="1:12" x14ac:dyDescent="0.25">
      <c r="A5" t="s">
        <v>1487</v>
      </c>
      <c r="B5">
        <v>89</v>
      </c>
      <c r="C5">
        <v>17.100000000000001</v>
      </c>
      <c r="D5">
        <v>12</v>
      </c>
      <c r="E5">
        <v>9.6999999999999993</v>
      </c>
      <c r="F5">
        <v>71</v>
      </c>
      <c r="G5">
        <v>11.4</v>
      </c>
      <c r="H5">
        <v>10.8</v>
      </c>
      <c r="I5">
        <f>AVERAGE(7.8,7.6)</f>
        <v>7.6999999999999993</v>
      </c>
      <c r="J5">
        <v>55.6</v>
      </c>
      <c r="K5">
        <v>17.100000000000001</v>
      </c>
      <c r="L5" t="s">
        <v>1488</v>
      </c>
    </row>
    <row r="6" spans="1:12" x14ac:dyDescent="0.25">
      <c r="A6" t="s">
        <v>1489</v>
      </c>
      <c r="B6">
        <v>91.6</v>
      </c>
      <c r="C6">
        <v>17</v>
      </c>
      <c r="D6">
        <v>6</v>
      </c>
      <c r="E6">
        <v>4.9000000000000004</v>
      </c>
      <c r="F6">
        <v>26.8</v>
      </c>
      <c r="G6">
        <v>7.1</v>
      </c>
      <c r="H6">
        <v>6.6</v>
      </c>
      <c r="I6">
        <f>AVERAGE(5.2,5)</f>
        <v>5.0999999999999996</v>
      </c>
      <c r="K6">
        <v>6.7</v>
      </c>
      <c r="L6" t="s">
        <v>1490</v>
      </c>
    </row>
    <row r="8" spans="1:12" x14ac:dyDescent="0.25">
      <c r="A8" t="s">
        <v>1168</v>
      </c>
      <c r="B8">
        <f>AVERAGE(B4,B5,B6)</f>
        <v>90.09999999999998</v>
      </c>
      <c r="C8">
        <f t="shared" ref="C8:K8" si="0">AVERAGE(C4,C5,C6)</f>
        <v>17.333333333333332</v>
      </c>
      <c r="D8">
        <f t="shared" si="0"/>
        <v>10.666666666666666</v>
      </c>
      <c r="E8">
        <f t="shared" si="0"/>
        <v>8.6666666666666661</v>
      </c>
      <c r="F8">
        <f t="shared" si="0"/>
        <v>56.833333333333336</v>
      </c>
      <c r="G8">
        <f t="shared" si="0"/>
        <v>10.633333333333333</v>
      </c>
      <c r="H8">
        <f t="shared" si="0"/>
        <v>10.033333333333333</v>
      </c>
      <c r="I8">
        <f t="shared" si="0"/>
        <v>7.5166666666666657</v>
      </c>
      <c r="J8">
        <f t="shared" si="0"/>
        <v>59.150000000000006</v>
      </c>
      <c r="K8">
        <f t="shared" si="0"/>
        <v>13.266666666666667</v>
      </c>
    </row>
  </sheetData>
  <mergeCells count="2">
    <mergeCell ref="C2:F2"/>
    <mergeCell ref="G2:J2"/>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C828B-2E41-AA45-ABD7-45870AD0899C}">
  <dimension ref="A31:L37"/>
  <sheetViews>
    <sheetView topLeftCell="A28" workbookViewId="0">
      <selection activeCell="A31" sqref="A31:L33"/>
    </sheetView>
  </sheetViews>
  <sheetFormatPr defaultColWidth="11.42578125" defaultRowHeight="15" x14ac:dyDescent="0.25"/>
  <cols>
    <col min="1" max="1" width="22.140625" customWidth="1"/>
  </cols>
  <sheetData>
    <row r="31" spans="1:11" ht="18.75" x14ac:dyDescent="0.25">
      <c r="A31" s="2" t="s">
        <v>1491</v>
      </c>
      <c r="B31" s="2"/>
    </row>
    <row r="32" spans="1:11" ht="18.75" x14ac:dyDescent="0.25">
      <c r="A32" s="2"/>
      <c r="B32" s="2"/>
      <c r="C32" s="82" t="s">
        <v>1146</v>
      </c>
      <c r="D32" s="82"/>
      <c r="E32" s="82"/>
      <c r="F32" s="82"/>
      <c r="G32" s="82" t="s">
        <v>1147</v>
      </c>
      <c r="H32" s="82"/>
      <c r="I32" s="82"/>
      <c r="J32" s="82"/>
      <c r="K32" s="8"/>
    </row>
    <row r="33" spans="1:12" x14ac:dyDescent="0.25">
      <c r="A33" s="3" t="s">
        <v>1148</v>
      </c>
      <c r="B33" s="3" t="s">
        <v>1466</v>
      </c>
      <c r="C33" s="3" t="s">
        <v>1150</v>
      </c>
      <c r="D33" s="3" t="s">
        <v>1151</v>
      </c>
      <c r="E33" s="3" t="s">
        <v>1152</v>
      </c>
      <c r="F33" s="3" t="s">
        <v>1157</v>
      </c>
      <c r="G33" s="3" t="s">
        <v>1484</v>
      </c>
      <c r="H33" s="3" t="s">
        <v>1155</v>
      </c>
      <c r="I33" s="3" t="s">
        <v>1156</v>
      </c>
      <c r="J33" s="3" t="s">
        <v>1153</v>
      </c>
      <c r="K33" s="3" t="s">
        <v>1158</v>
      </c>
      <c r="L33" s="3" t="s">
        <v>1159</v>
      </c>
    </row>
    <row r="34" spans="1:12" x14ac:dyDescent="0.25">
      <c r="A34" t="s">
        <v>1492</v>
      </c>
      <c r="B34">
        <v>97</v>
      </c>
      <c r="C34">
        <v>16.100000000000001</v>
      </c>
      <c r="D34">
        <v>14.7</v>
      </c>
      <c r="E34">
        <v>12.3</v>
      </c>
      <c r="F34">
        <v>73.900000000000006</v>
      </c>
      <c r="G34">
        <v>15.3</v>
      </c>
      <c r="H34">
        <v>14.8</v>
      </c>
      <c r="K34">
        <v>12.5</v>
      </c>
      <c r="L34" t="s">
        <v>1493</v>
      </c>
    </row>
    <row r="35" spans="1:12" x14ac:dyDescent="0.25">
      <c r="A35" t="s">
        <v>1494</v>
      </c>
      <c r="B35">
        <v>97.1</v>
      </c>
      <c r="C35">
        <v>15.4</v>
      </c>
      <c r="D35">
        <v>14</v>
      </c>
      <c r="E35">
        <v>11.8</v>
      </c>
      <c r="F35">
        <v>71.2</v>
      </c>
      <c r="G35">
        <v>14.6</v>
      </c>
      <c r="H35">
        <v>14.2</v>
      </c>
      <c r="I35">
        <v>12.1</v>
      </c>
      <c r="K35">
        <v>9.3000000000000007</v>
      </c>
      <c r="L35" t="s">
        <v>1495</v>
      </c>
    </row>
    <row r="37" spans="1:12" x14ac:dyDescent="0.25">
      <c r="A37" t="s">
        <v>1168</v>
      </c>
      <c r="B37">
        <f>AVERAGE(B34,B35)</f>
        <v>97.05</v>
      </c>
      <c r="C37">
        <f t="shared" ref="C37:K37" si="0">AVERAGE(C34,C35)</f>
        <v>15.75</v>
      </c>
      <c r="D37">
        <f t="shared" si="0"/>
        <v>14.35</v>
      </c>
      <c r="E37">
        <f t="shared" si="0"/>
        <v>12.05</v>
      </c>
      <c r="F37">
        <f t="shared" si="0"/>
        <v>72.550000000000011</v>
      </c>
      <c r="G37">
        <f t="shared" si="0"/>
        <v>14.95</v>
      </c>
      <c r="H37">
        <f t="shared" si="0"/>
        <v>14.5</v>
      </c>
      <c r="I37">
        <f t="shared" si="0"/>
        <v>12.1</v>
      </c>
      <c r="J37" t="e">
        <f t="shared" si="0"/>
        <v>#DIV/0!</v>
      </c>
      <c r="K37">
        <f t="shared" si="0"/>
        <v>10.9</v>
      </c>
    </row>
  </sheetData>
  <mergeCells count="2">
    <mergeCell ref="C32:F32"/>
    <mergeCell ref="G32:J32"/>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EEE2C-F648-4D47-99F5-75DA90435863}">
  <dimension ref="A1:L8"/>
  <sheetViews>
    <sheetView workbookViewId="0">
      <selection activeCell="I15" sqref="I15"/>
    </sheetView>
  </sheetViews>
  <sheetFormatPr defaultColWidth="11.42578125" defaultRowHeight="15" x14ac:dyDescent="0.25"/>
  <cols>
    <col min="1" max="1" width="44" customWidth="1"/>
  </cols>
  <sheetData>
    <row r="1" spans="1:12" ht="18.75" x14ac:dyDescent="0.25">
      <c r="A1" s="2" t="s">
        <v>1496</v>
      </c>
      <c r="B1" s="2"/>
    </row>
    <row r="2" spans="1:12" ht="18.75" x14ac:dyDescent="0.25">
      <c r="A2" s="2"/>
      <c r="B2" s="2"/>
      <c r="C2" s="82" t="s">
        <v>1146</v>
      </c>
      <c r="D2" s="82"/>
      <c r="E2" s="82"/>
      <c r="F2" s="82"/>
      <c r="G2" s="82" t="s">
        <v>1147</v>
      </c>
      <c r="H2" s="82"/>
      <c r="I2" s="82"/>
      <c r="J2" s="82"/>
      <c r="K2" s="8"/>
    </row>
    <row r="3" spans="1:12" x14ac:dyDescent="0.25">
      <c r="A3" s="3" t="s">
        <v>1148</v>
      </c>
      <c r="B3" s="3" t="s">
        <v>1466</v>
      </c>
      <c r="C3" s="3" t="s">
        <v>1150</v>
      </c>
      <c r="D3" s="3" t="s">
        <v>1151</v>
      </c>
      <c r="E3" s="3" t="s">
        <v>1152</v>
      </c>
      <c r="F3" s="3" t="s">
        <v>1157</v>
      </c>
      <c r="G3" s="3" t="s">
        <v>1484</v>
      </c>
      <c r="H3" s="3" t="s">
        <v>1155</v>
      </c>
      <c r="I3" s="3" t="s">
        <v>1156</v>
      </c>
      <c r="J3" s="3" t="s">
        <v>1153</v>
      </c>
      <c r="K3" s="3" t="s">
        <v>1158</v>
      </c>
      <c r="L3" s="3" t="s">
        <v>1159</v>
      </c>
    </row>
    <row r="5" spans="1:12" x14ac:dyDescent="0.25">
      <c r="A5" t="s">
        <v>1497</v>
      </c>
      <c r="B5">
        <v>88.3</v>
      </c>
      <c r="C5">
        <v>20.6</v>
      </c>
      <c r="D5">
        <f>C5*0.73</f>
        <v>15.038</v>
      </c>
      <c r="E5">
        <v>11.9</v>
      </c>
      <c r="F5">
        <v>75.099999999999994</v>
      </c>
      <c r="G5">
        <v>14.5</v>
      </c>
      <c r="H5">
        <v>13.6</v>
      </c>
      <c r="I5">
        <f>AVERAGE(13.6,13.2)</f>
        <v>13.399999999999999</v>
      </c>
      <c r="J5">
        <v>78.8</v>
      </c>
      <c r="K5">
        <v>34.6</v>
      </c>
      <c r="L5" t="s">
        <v>1498</v>
      </c>
    </row>
    <row r="6" spans="1:12" x14ac:dyDescent="0.25">
      <c r="A6" t="s">
        <v>1499</v>
      </c>
      <c r="B6">
        <v>88.6</v>
      </c>
      <c r="C6">
        <v>19.3</v>
      </c>
      <c r="D6">
        <f>C6*0.66</f>
        <v>12.738000000000001</v>
      </c>
      <c r="E6">
        <v>10.3</v>
      </c>
      <c r="F6">
        <v>65.900000000000006</v>
      </c>
      <c r="G6">
        <v>12.2</v>
      </c>
      <c r="H6">
        <v>11.7</v>
      </c>
      <c r="I6">
        <f>AVERAGE(12,11.8)</f>
        <v>11.9</v>
      </c>
      <c r="J6">
        <v>61.4</v>
      </c>
      <c r="K6">
        <v>18.3</v>
      </c>
      <c r="L6" t="s">
        <v>1500</v>
      </c>
    </row>
    <row r="8" spans="1:12" x14ac:dyDescent="0.25">
      <c r="A8" t="s">
        <v>1168</v>
      </c>
      <c r="B8">
        <f>AVERAGE(B5,B6)</f>
        <v>88.449999999999989</v>
      </c>
      <c r="C8">
        <f t="shared" ref="C8:K8" si="0">AVERAGE(C5,C6)</f>
        <v>19.950000000000003</v>
      </c>
      <c r="D8">
        <f t="shared" si="0"/>
        <v>13.888000000000002</v>
      </c>
      <c r="E8">
        <f t="shared" si="0"/>
        <v>11.100000000000001</v>
      </c>
      <c r="F8">
        <f t="shared" si="0"/>
        <v>70.5</v>
      </c>
      <c r="G8">
        <f t="shared" si="0"/>
        <v>13.35</v>
      </c>
      <c r="H8">
        <f t="shared" si="0"/>
        <v>12.649999999999999</v>
      </c>
      <c r="I8">
        <f t="shared" si="0"/>
        <v>12.649999999999999</v>
      </c>
      <c r="J8">
        <f t="shared" si="0"/>
        <v>70.099999999999994</v>
      </c>
      <c r="K8">
        <f t="shared" si="0"/>
        <v>26.450000000000003</v>
      </c>
    </row>
  </sheetData>
  <mergeCells count="2">
    <mergeCell ref="C2:F2"/>
    <mergeCell ref="G2:J2"/>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E029D-6C05-5C4F-AEDC-2A7D53E4F06B}">
  <dimension ref="A1:L9"/>
  <sheetViews>
    <sheetView workbookViewId="0">
      <selection activeCell="J3" sqref="J3"/>
    </sheetView>
  </sheetViews>
  <sheetFormatPr defaultColWidth="11.42578125" defaultRowHeight="15" x14ac:dyDescent="0.25"/>
  <cols>
    <col min="1" max="1" width="20.42578125" customWidth="1"/>
  </cols>
  <sheetData>
    <row r="1" spans="1:12" ht="18.75" x14ac:dyDescent="0.25">
      <c r="A1" s="2" t="s">
        <v>1501</v>
      </c>
      <c r="B1" s="2"/>
    </row>
    <row r="2" spans="1:12" ht="18.75" x14ac:dyDescent="0.25">
      <c r="A2" s="2"/>
      <c r="B2" s="2"/>
      <c r="C2" s="82" t="s">
        <v>1146</v>
      </c>
      <c r="D2" s="82"/>
      <c r="E2" s="82"/>
      <c r="F2" s="82"/>
      <c r="G2" s="82" t="s">
        <v>1147</v>
      </c>
      <c r="H2" s="82"/>
      <c r="I2" s="82"/>
      <c r="J2" s="82"/>
      <c r="K2" s="8"/>
    </row>
    <row r="3" spans="1:12" x14ac:dyDescent="0.25">
      <c r="A3" s="3" t="s">
        <v>1148</v>
      </c>
      <c r="B3" s="3" t="s">
        <v>1466</v>
      </c>
      <c r="C3" s="3" t="s">
        <v>1150</v>
      </c>
      <c r="D3" s="3" t="s">
        <v>1151</v>
      </c>
      <c r="E3" s="3" t="s">
        <v>1152</v>
      </c>
      <c r="F3" s="3" t="s">
        <v>1157</v>
      </c>
      <c r="G3" s="3" t="s">
        <v>1484</v>
      </c>
      <c r="H3" s="3" t="s">
        <v>1155</v>
      </c>
      <c r="I3" s="3" t="s">
        <v>1156</v>
      </c>
      <c r="J3" s="3" t="s">
        <v>1153</v>
      </c>
      <c r="K3" s="3" t="s">
        <v>1158</v>
      </c>
      <c r="L3" s="3" t="s">
        <v>1159</v>
      </c>
    </row>
    <row r="4" spans="1:12" x14ac:dyDescent="0.25">
      <c r="A4" t="s">
        <v>1502</v>
      </c>
      <c r="B4">
        <v>90</v>
      </c>
      <c r="C4">
        <v>20.5</v>
      </c>
      <c r="D4">
        <v>19</v>
      </c>
      <c r="E4">
        <v>15.8</v>
      </c>
      <c r="F4">
        <v>75.8</v>
      </c>
      <c r="G4">
        <v>17.2</v>
      </c>
      <c r="H4">
        <v>16.7</v>
      </c>
      <c r="K4">
        <v>14.2</v>
      </c>
      <c r="L4" t="s">
        <v>1503</v>
      </c>
    </row>
    <row r="5" spans="1:12" x14ac:dyDescent="0.25">
      <c r="A5" t="s">
        <v>1504</v>
      </c>
      <c r="B5">
        <v>90.1</v>
      </c>
      <c r="C5">
        <v>21.2</v>
      </c>
      <c r="D5">
        <v>16</v>
      </c>
      <c r="E5">
        <v>13.1</v>
      </c>
      <c r="F5">
        <v>62</v>
      </c>
      <c r="G5">
        <v>16.2</v>
      </c>
      <c r="H5">
        <v>15.6</v>
      </c>
      <c r="I5">
        <v>12.7</v>
      </c>
      <c r="J5">
        <v>79.5</v>
      </c>
      <c r="K5">
        <v>14.8</v>
      </c>
      <c r="L5" t="s">
        <v>1505</v>
      </c>
    </row>
    <row r="6" spans="1:12" x14ac:dyDescent="0.25">
      <c r="A6" t="s">
        <v>1506</v>
      </c>
      <c r="B6">
        <v>90.2</v>
      </c>
      <c r="C6">
        <v>20.2</v>
      </c>
      <c r="D6">
        <v>12.3</v>
      </c>
      <c r="E6">
        <v>10.1</v>
      </c>
      <c r="F6">
        <v>59.9</v>
      </c>
      <c r="G6">
        <v>13</v>
      </c>
      <c r="H6">
        <v>12.5</v>
      </c>
      <c r="I6">
        <f>AVERAGE(10.6,10.3)</f>
        <v>10.45</v>
      </c>
      <c r="J6">
        <v>68.900000000000006</v>
      </c>
      <c r="K6">
        <v>12.7</v>
      </c>
      <c r="L6" t="s">
        <v>1507</v>
      </c>
    </row>
    <row r="7" spans="1:12" x14ac:dyDescent="0.25">
      <c r="A7" t="s">
        <v>1508</v>
      </c>
      <c r="B7">
        <v>91.7</v>
      </c>
      <c r="C7">
        <v>19.3</v>
      </c>
      <c r="D7">
        <v>8.1999999999999993</v>
      </c>
      <c r="E7">
        <v>6.7</v>
      </c>
      <c r="F7">
        <v>39.6</v>
      </c>
      <c r="G7">
        <v>8.8000000000000007</v>
      </c>
      <c r="H7">
        <v>8.3000000000000007</v>
      </c>
      <c r="K7">
        <v>8.8000000000000007</v>
      </c>
      <c r="L7" t="s">
        <v>1509</v>
      </c>
    </row>
    <row r="9" spans="1:12" x14ac:dyDescent="0.25">
      <c r="A9" t="s">
        <v>1168</v>
      </c>
      <c r="B9">
        <f>AVERAGE(B5,B4,B6,B7)</f>
        <v>90.5</v>
      </c>
      <c r="C9">
        <f t="shared" ref="C9:K9" si="0">AVERAGE(C5,C4,C6,C7)</f>
        <v>20.3</v>
      </c>
      <c r="D9">
        <f t="shared" si="0"/>
        <v>13.875</v>
      </c>
      <c r="E9">
        <f t="shared" si="0"/>
        <v>11.425000000000001</v>
      </c>
      <c r="F9">
        <f t="shared" si="0"/>
        <v>59.325000000000003</v>
      </c>
      <c r="G9">
        <f t="shared" si="0"/>
        <v>13.8</v>
      </c>
      <c r="H9">
        <f t="shared" si="0"/>
        <v>13.274999999999999</v>
      </c>
      <c r="I9">
        <f t="shared" si="0"/>
        <v>11.574999999999999</v>
      </c>
      <c r="J9">
        <f t="shared" si="0"/>
        <v>74.2</v>
      </c>
      <c r="K9">
        <f t="shared" si="0"/>
        <v>12.625</v>
      </c>
    </row>
  </sheetData>
  <mergeCells count="2">
    <mergeCell ref="C2:F2"/>
    <mergeCell ref="G2:J2"/>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C931C-1AFE-9248-AA24-34EBC40F90FE}">
  <dimension ref="A1:L11"/>
  <sheetViews>
    <sheetView workbookViewId="0">
      <selection activeCell="B3" sqref="B3"/>
    </sheetView>
  </sheetViews>
  <sheetFormatPr defaultColWidth="11.42578125" defaultRowHeight="15" x14ac:dyDescent="0.25"/>
  <cols>
    <col min="1" max="1" width="29.140625" customWidth="1"/>
  </cols>
  <sheetData>
    <row r="1" spans="1:12" ht="18.75" x14ac:dyDescent="0.25">
      <c r="A1" s="2" t="s">
        <v>1510</v>
      </c>
      <c r="B1" s="2"/>
    </row>
    <row r="2" spans="1:12" ht="18.75" x14ac:dyDescent="0.25">
      <c r="A2" s="2"/>
      <c r="B2" s="2"/>
      <c r="C2" s="82" t="s">
        <v>1146</v>
      </c>
      <c r="D2" s="82"/>
      <c r="E2" s="82"/>
      <c r="F2" s="82"/>
      <c r="G2" s="82" t="s">
        <v>1147</v>
      </c>
      <c r="H2" s="82"/>
      <c r="I2" s="82"/>
      <c r="J2" s="82"/>
      <c r="K2" s="8"/>
    </row>
    <row r="3" spans="1:12" x14ac:dyDescent="0.25">
      <c r="A3" s="3" t="s">
        <v>1148</v>
      </c>
      <c r="B3" s="3" t="s">
        <v>1466</v>
      </c>
      <c r="C3" s="3" t="s">
        <v>1150</v>
      </c>
      <c r="D3" s="3" t="s">
        <v>1151</v>
      </c>
      <c r="E3" s="3" t="s">
        <v>1152</v>
      </c>
      <c r="F3" s="3" t="s">
        <v>1157</v>
      </c>
      <c r="G3" s="3" t="s">
        <v>1484</v>
      </c>
      <c r="H3" s="3" t="s">
        <v>1155</v>
      </c>
      <c r="I3" s="3" t="s">
        <v>1156</v>
      </c>
      <c r="J3" s="3" t="s">
        <v>1153</v>
      </c>
      <c r="K3" s="3" t="s">
        <v>1158</v>
      </c>
      <c r="L3" s="3" t="s">
        <v>1159</v>
      </c>
    </row>
    <row r="4" spans="1:12" x14ac:dyDescent="0.25">
      <c r="A4" t="s">
        <v>1511</v>
      </c>
      <c r="B4">
        <v>95.6</v>
      </c>
      <c r="C4">
        <v>20.7</v>
      </c>
      <c r="D4">
        <v>16.3</v>
      </c>
      <c r="E4">
        <v>13.1</v>
      </c>
      <c r="F4">
        <v>82.9</v>
      </c>
      <c r="G4">
        <v>15.4</v>
      </c>
      <c r="H4">
        <v>14.4</v>
      </c>
      <c r="I4">
        <v>9.8000000000000007</v>
      </c>
      <c r="J4">
        <v>71</v>
      </c>
      <c r="K4">
        <v>25.6</v>
      </c>
      <c r="L4" t="s">
        <v>1512</v>
      </c>
    </row>
    <row r="5" spans="1:12" x14ac:dyDescent="0.25">
      <c r="A5" t="s">
        <v>1513</v>
      </c>
      <c r="B5">
        <v>87.7</v>
      </c>
      <c r="C5">
        <v>19.5</v>
      </c>
      <c r="D5">
        <v>15.3</v>
      </c>
      <c r="E5">
        <v>12.2</v>
      </c>
      <c r="F5">
        <v>49.6</v>
      </c>
      <c r="G5">
        <v>14.6</v>
      </c>
      <c r="H5">
        <v>13.6</v>
      </c>
      <c r="I5">
        <v>8.8000000000000007</v>
      </c>
      <c r="K5">
        <v>28.9</v>
      </c>
      <c r="L5" t="s">
        <v>1514</v>
      </c>
    </row>
    <row r="6" spans="1:12" x14ac:dyDescent="0.25">
      <c r="A6" t="s">
        <v>1515</v>
      </c>
      <c r="B6">
        <v>91.4</v>
      </c>
      <c r="C6">
        <v>20.7</v>
      </c>
      <c r="D6">
        <v>17.7</v>
      </c>
      <c r="E6">
        <v>14.6</v>
      </c>
      <c r="F6">
        <v>55.3</v>
      </c>
      <c r="I6">
        <v>12.3</v>
      </c>
      <c r="K6">
        <v>14.9</v>
      </c>
      <c r="L6" t="s">
        <v>1516</v>
      </c>
    </row>
    <row r="7" spans="1:12" x14ac:dyDescent="0.25">
      <c r="A7" t="s">
        <v>1517</v>
      </c>
      <c r="B7">
        <v>90.2</v>
      </c>
      <c r="C7">
        <v>17.7</v>
      </c>
      <c r="D7">
        <v>14.3</v>
      </c>
      <c r="E7">
        <v>11.8</v>
      </c>
      <c r="F7">
        <v>51.1</v>
      </c>
      <c r="G7">
        <v>11.3</v>
      </c>
      <c r="H7">
        <v>9.6</v>
      </c>
      <c r="J7">
        <v>63.8</v>
      </c>
      <c r="K7">
        <v>14.3</v>
      </c>
      <c r="L7" t="s">
        <v>1518</v>
      </c>
    </row>
    <row r="11" spans="1:12" x14ac:dyDescent="0.25">
      <c r="A11" t="s">
        <v>1168</v>
      </c>
      <c r="B11">
        <f>AVERAGE(B4,B5,B6,B7)</f>
        <v>91.225000000000009</v>
      </c>
      <c r="C11">
        <f t="shared" ref="C11:K11" si="0">AVERAGE(C4,C5,C6,C7)</f>
        <v>19.650000000000002</v>
      </c>
      <c r="D11">
        <f t="shared" si="0"/>
        <v>15.899999999999999</v>
      </c>
      <c r="E11">
        <f t="shared" si="0"/>
        <v>12.925000000000001</v>
      </c>
      <c r="F11">
        <f t="shared" si="0"/>
        <v>59.725000000000001</v>
      </c>
      <c r="G11">
        <f t="shared" si="0"/>
        <v>13.766666666666666</v>
      </c>
      <c r="H11">
        <f t="shared" si="0"/>
        <v>12.533333333333333</v>
      </c>
      <c r="I11">
        <f t="shared" si="0"/>
        <v>10.3</v>
      </c>
      <c r="J11">
        <f t="shared" si="0"/>
        <v>67.400000000000006</v>
      </c>
      <c r="K11">
        <f t="shared" si="0"/>
        <v>20.925000000000001</v>
      </c>
    </row>
  </sheetData>
  <mergeCells count="2">
    <mergeCell ref="C2:F2"/>
    <mergeCell ref="G2:J2"/>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01AA0-081B-804D-95A3-3AC1E44BB4F1}">
  <dimension ref="A1:L7"/>
  <sheetViews>
    <sheetView workbookViewId="0">
      <selection sqref="A1:M3"/>
    </sheetView>
  </sheetViews>
  <sheetFormatPr defaultColWidth="11.42578125" defaultRowHeight="15" x14ac:dyDescent="0.25"/>
  <cols>
    <col min="1" max="1" width="22.140625" customWidth="1"/>
  </cols>
  <sheetData>
    <row r="1" spans="1:12" ht="18.75" x14ac:dyDescent="0.25">
      <c r="A1" s="2" t="s">
        <v>1519</v>
      </c>
      <c r="B1" s="2"/>
    </row>
    <row r="2" spans="1:12" ht="18.75" x14ac:dyDescent="0.25">
      <c r="A2" s="2"/>
      <c r="B2" s="2"/>
      <c r="C2" s="82" t="s">
        <v>1146</v>
      </c>
      <c r="D2" s="82"/>
      <c r="E2" s="82"/>
      <c r="F2" s="82"/>
      <c r="G2" s="82" t="s">
        <v>1147</v>
      </c>
      <c r="H2" s="82"/>
      <c r="I2" s="82"/>
      <c r="J2" s="82"/>
      <c r="K2" s="8"/>
    </row>
    <row r="3" spans="1:12" x14ac:dyDescent="0.25">
      <c r="A3" s="3" t="s">
        <v>1148</v>
      </c>
      <c r="B3" s="3" t="s">
        <v>1466</v>
      </c>
      <c r="C3" s="3" t="s">
        <v>1150</v>
      </c>
      <c r="D3" s="3" t="s">
        <v>1151</v>
      </c>
      <c r="E3" s="3" t="s">
        <v>1152</v>
      </c>
      <c r="F3" s="3" t="s">
        <v>1157</v>
      </c>
      <c r="G3" s="3" t="s">
        <v>1484</v>
      </c>
      <c r="H3" s="3" t="s">
        <v>1155</v>
      </c>
      <c r="I3" s="3" t="s">
        <v>1156</v>
      </c>
      <c r="J3" s="3" t="s">
        <v>1153</v>
      </c>
      <c r="K3" s="3" t="s">
        <v>1158</v>
      </c>
      <c r="L3" s="3" t="s">
        <v>1159</v>
      </c>
    </row>
    <row r="4" spans="1:12" x14ac:dyDescent="0.25">
      <c r="A4" t="s">
        <v>1520</v>
      </c>
      <c r="B4">
        <v>91.2</v>
      </c>
      <c r="C4">
        <v>22.5</v>
      </c>
      <c r="D4">
        <v>19.600000000000001</v>
      </c>
      <c r="E4">
        <v>16.2</v>
      </c>
      <c r="G4">
        <v>16.3</v>
      </c>
      <c r="H4">
        <v>15.6</v>
      </c>
      <c r="I4">
        <v>13.9</v>
      </c>
      <c r="J4">
        <v>76.3</v>
      </c>
      <c r="K4">
        <v>15.3</v>
      </c>
      <c r="L4" t="s">
        <v>1521</v>
      </c>
    </row>
    <row r="5" spans="1:12" x14ac:dyDescent="0.25">
      <c r="A5" t="s">
        <v>1522</v>
      </c>
      <c r="B5">
        <v>95.1</v>
      </c>
      <c r="C5">
        <v>28.9</v>
      </c>
      <c r="D5">
        <v>24.5</v>
      </c>
      <c r="E5">
        <v>20.3</v>
      </c>
      <c r="F5">
        <v>83</v>
      </c>
      <c r="G5">
        <v>22.9</v>
      </c>
      <c r="H5">
        <v>22.4</v>
      </c>
      <c r="I5">
        <v>17.3</v>
      </c>
      <c r="K5">
        <v>12.8</v>
      </c>
      <c r="L5" t="s">
        <v>1523</v>
      </c>
    </row>
    <row r="7" spans="1:12" x14ac:dyDescent="0.25">
      <c r="A7" t="s">
        <v>1168</v>
      </c>
      <c r="B7">
        <f>AVERAGE(B4,B5)</f>
        <v>93.15</v>
      </c>
      <c r="C7">
        <f t="shared" ref="C7:K7" si="0">AVERAGE(C4,C5)</f>
        <v>25.7</v>
      </c>
      <c r="D7">
        <f t="shared" si="0"/>
        <v>22.05</v>
      </c>
      <c r="E7">
        <f t="shared" si="0"/>
        <v>18.25</v>
      </c>
      <c r="F7">
        <f t="shared" si="0"/>
        <v>83</v>
      </c>
      <c r="G7">
        <f t="shared" si="0"/>
        <v>19.600000000000001</v>
      </c>
      <c r="H7">
        <f t="shared" si="0"/>
        <v>19</v>
      </c>
      <c r="I7">
        <f t="shared" si="0"/>
        <v>15.600000000000001</v>
      </c>
      <c r="J7">
        <f t="shared" si="0"/>
        <v>76.3</v>
      </c>
      <c r="K7">
        <f t="shared" si="0"/>
        <v>14.05</v>
      </c>
    </row>
  </sheetData>
  <mergeCells count="2">
    <mergeCell ref="C2:F2"/>
    <mergeCell ref="G2:J2"/>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2"/>
  <dimension ref="A1:L7"/>
  <sheetViews>
    <sheetView workbookViewId="0">
      <selection activeCell="J19" sqref="J19"/>
    </sheetView>
  </sheetViews>
  <sheetFormatPr defaultColWidth="8.85546875" defaultRowHeight="15" x14ac:dyDescent="0.25"/>
  <cols>
    <col min="1" max="1" width="23.42578125" bestFit="1" customWidth="1"/>
    <col min="2" max="2" width="9.7109375" bestFit="1" customWidth="1"/>
    <col min="3" max="3" width="9.7109375" customWidth="1"/>
    <col min="4" max="4" width="9.7109375" bestFit="1" customWidth="1"/>
    <col min="5" max="5" width="10.140625" bestFit="1" customWidth="1"/>
    <col min="6" max="6" width="10.140625" customWidth="1"/>
    <col min="7" max="7" width="6.28515625" bestFit="1" customWidth="1"/>
    <col min="8" max="8" width="14.85546875" bestFit="1" customWidth="1"/>
    <col min="9" max="9" width="17.7109375" bestFit="1" customWidth="1"/>
    <col min="10" max="10" width="17.7109375" customWidth="1"/>
    <col min="11" max="11" width="9" bestFit="1" customWidth="1"/>
    <col min="12" max="12" width="35.28515625" bestFit="1" customWidth="1"/>
  </cols>
  <sheetData>
    <row r="1" spans="1:12" ht="18.75" x14ac:dyDescent="0.25">
      <c r="A1" s="2" t="s">
        <v>1524</v>
      </c>
    </row>
    <row r="2" spans="1:12" ht="18.75" x14ac:dyDescent="0.25">
      <c r="A2" s="2"/>
      <c r="D2" s="82" t="s">
        <v>1146</v>
      </c>
      <c r="E2" s="82"/>
      <c r="F2" s="82"/>
      <c r="G2" s="82" t="s">
        <v>1147</v>
      </c>
      <c r="H2" s="82"/>
      <c r="I2" s="82"/>
      <c r="J2" s="82"/>
      <c r="K2" s="8"/>
    </row>
    <row r="3" spans="1:12" x14ac:dyDescent="0.25">
      <c r="A3" s="3" t="s">
        <v>1148</v>
      </c>
      <c r="B3" s="3" t="s">
        <v>1150</v>
      </c>
      <c r="C3" s="3" t="s">
        <v>1149</v>
      </c>
      <c r="D3" s="3" t="s">
        <v>1151</v>
      </c>
      <c r="E3" s="3" t="s">
        <v>1152</v>
      </c>
      <c r="F3" s="3" t="s">
        <v>1525</v>
      </c>
      <c r="G3" s="3" t="s">
        <v>1225</v>
      </c>
      <c r="H3" s="3" t="s">
        <v>1155</v>
      </c>
      <c r="I3" s="3" t="s">
        <v>1156</v>
      </c>
      <c r="J3" s="3" t="s">
        <v>1525</v>
      </c>
      <c r="K3" s="3" t="s">
        <v>1158</v>
      </c>
      <c r="L3" s="3" t="s">
        <v>1159</v>
      </c>
    </row>
    <row r="4" spans="1:12" x14ac:dyDescent="0.25">
      <c r="A4" t="s">
        <v>1526</v>
      </c>
      <c r="B4">
        <v>21.6</v>
      </c>
      <c r="C4">
        <v>91.3</v>
      </c>
      <c r="D4">
        <f>B4*0.543</f>
        <v>11.728800000000001</v>
      </c>
      <c r="E4">
        <v>9</v>
      </c>
      <c r="F4" s="17">
        <v>71.900000000000006</v>
      </c>
      <c r="G4">
        <v>12</v>
      </c>
      <c r="H4">
        <v>11.2</v>
      </c>
      <c r="I4">
        <v>10.25</v>
      </c>
      <c r="J4">
        <v>55.6</v>
      </c>
      <c r="K4">
        <v>31.9</v>
      </c>
      <c r="L4" s="4" t="s">
        <v>1527</v>
      </c>
    </row>
    <row r="5" spans="1:12" x14ac:dyDescent="0.25">
      <c r="A5" t="s">
        <v>1528</v>
      </c>
      <c r="B5">
        <v>19.399999999999999</v>
      </c>
      <c r="C5">
        <v>88.7</v>
      </c>
      <c r="D5">
        <f>B5*0.543</f>
        <v>10.5342</v>
      </c>
      <c r="G5">
        <f>B5*0.403</f>
        <v>7.8182</v>
      </c>
      <c r="H5">
        <v>8.3000000000000007</v>
      </c>
      <c r="K5">
        <v>39.200000000000003</v>
      </c>
      <c r="L5" s="4" t="s">
        <v>1529</v>
      </c>
    </row>
    <row r="7" spans="1:12" x14ac:dyDescent="0.25">
      <c r="A7" s="5" t="s">
        <v>1168</v>
      </c>
      <c r="B7" s="6">
        <f t="shared" ref="B7:K7" si="0">AVERAGE(B4:B5)</f>
        <v>20.5</v>
      </c>
      <c r="C7" s="6">
        <f>AVERAGE(C4,C5)</f>
        <v>90</v>
      </c>
      <c r="D7" s="6">
        <f t="shared" si="0"/>
        <v>11.131500000000001</v>
      </c>
      <c r="E7" s="6">
        <f t="shared" si="0"/>
        <v>9</v>
      </c>
      <c r="F7" s="6"/>
      <c r="G7" s="6">
        <f t="shared" si="0"/>
        <v>9.9091000000000005</v>
      </c>
      <c r="H7" s="6">
        <f t="shared" si="0"/>
        <v>9.75</v>
      </c>
      <c r="I7" s="6">
        <f t="shared" si="0"/>
        <v>10.25</v>
      </c>
      <c r="J7" s="6"/>
      <c r="K7" s="6">
        <f t="shared" si="0"/>
        <v>35.549999999999997</v>
      </c>
    </row>
  </sheetData>
  <mergeCells count="2">
    <mergeCell ref="G2:J2"/>
    <mergeCell ref="D2:F2"/>
  </mergeCells>
  <hyperlinks>
    <hyperlink ref="L5" r:id="rId1" xr:uid="{00000000-0004-0000-0F00-000000000000}"/>
  </hyperlinks>
  <pageMargins left="0.7" right="0.7" top="0.75" bottom="0.75" header="0.3" footer="0.3"/>
  <pageSetup orientation="portrait"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4"/>
  <dimension ref="A1:L7"/>
  <sheetViews>
    <sheetView workbookViewId="0">
      <selection activeCell="J11" sqref="J11"/>
    </sheetView>
  </sheetViews>
  <sheetFormatPr defaultColWidth="8.85546875" defaultRowHeight="15" x14ac:dyDescent="0.25"/>
  <cols>
    <col min="1" max="1" width="23.42578125" bestFit="1" customWidth="1"/>
    <col min="2" max="2" width="23.42578125" customWidth="1"/>
    <col min="3" max="4" width="9.7109375" bestFit="1" customWidth="1"/>
    <col min="5" max="5" width="10.140625" bestFit="1" customWidth="1"/>
    <col min="6" max="6" width="10.140625" customWidth="1"/>
    <col min="7" max="7" width="6.28515625" bestFit="1" customWidth="1"/>
    <col min="8" max="8" width="14.85546875" bestFit="1" customWidth="1"/>
    <col min="9" max="9" width="17.7109375" bestFit="1" customWidth="1"/>
    <col min="10" max="10" width="17.7109375" customWidth="1"/>
    <col min="11" max="11" width="9" bestFit="1" customWidth="1"/>
    <col min="12" max="12" width="35.28515625" bestFit="1" customWidth="1"/>
  </cols>
  <sheetData>
    <row r="1" spans="1:12" ht="18.75" x14ac:dyDescent="0.25">
      <c r="A1" s="2" t="s">
        <v>1530</v>
      </c>
      <c r="B1" s="2"/>
    </row>
    <row r="2" spans="1:12" ht="18.75" x14ac:dyDescent="0.25">
      <c r="A2" s="2"/>
      <c r="B2" s="2"/>
      <c r="D2" s="82" t="s">
        <v>1146</v>
      </c>
      <c r="E2" s="82"/>
      <c r="F2" s="82"/>
      <c r="G2" s="82" t="s">
        <v>1147</v>
      </c>
      <c r="H2" s="82"/>
      <c r="I2" s="82"/>
      <c r="J2" s="82"/>
      <c r="K2" s="8"/>
    </row>
    <row r="3" spans="1:12" x14ac:dyDescent="0.25">
      <c r="A3" s="3" t="s">
        <v>1148</v>
      </c>
      <c r="B3" s="3" t="s">
        <v>1466</v>
      </c>
      <c r="C3" s="3" t="s">
        <v>1150</v>
      </c>
      <c r="D3" s="3" t="s">
        <v>1151</v>
      </c>
      <c r="E3" s="3" t="s">
        <v>1152</v>
      </c>
      <c r="F3" s="3" t="s">
        <v>1157</v>
      </c>
      <c r="G3" s="3" t="s">
        <v>1225</v>
      </c>
      <c r="H3" s="3" t="s">
        <v>1155</v>
      </c>
      <c r="I3" s="3" t="s">
        <v>1156</v>
      </c>
      <c r="J3" s="3" t="s">
        <v>1157</v>
      </c>
      <c r="K3" s="3" t="s">
        <v>1158</v>
      </c>
      <c r="L3" s="3" t="s">
        <v>1159</v>
      </c>
    </row>
    <row r="4" spans="1:12" x14ac:dyDescent="0.25">
      <c r="A4" t="s">
        <v>1531</v>
      </c>
      <c r="B4">
        <v>89</v>
      </c>
      <c r="C4">
        <v>19.3</v>
      </c>
      <c r="D4">
        <f>C4*0.75</f>
        <v>14.475000000000001</v>
      </c>
      <c r="E4">
        <v>11.1</v>
      </c>
      <c r="F4">
        <v>77.2</v>
      </c>
      <c r="G4">
        <v>13.3</v>
      </c>
      <c r="H4">
        <v>12.2</v>
      </c>
      <c r="I4">
        <f>AVERAGE(7.7,6.8)</f>
        <v>7.25</v>
      </c>
      <c r="J4">
        <v>76.599999999999994</v>
      </c>
      <c r="K4">
        <v>38.1</v>
      </c>
      <c r="L4" s="4" t="s">
        <v>1532</v>
      </c>
    </row>
    <row r="5" spans="1:12" x14ac:dyDescent="0.25">
      <c r="A5" t="s">
        <v>1533</v>
      </c>
      <c r="B5">
        <v>92</v>
      </c>
      <c r="C5">
        <v>21.4</v>
      </c>
      <c r="D5">
        <f>C5*0.785</f>
        <v>16.798999999999999</v>
      </c>
      <c r="E5">
        <v>13.1</v>
      </c>
      <c r="F5">
        <v>77</v>
      </c>
      <c r="G5">
        <v>15.2</v>
      </c>
      <c r="H5">
        <v>14.2</v>
      </c>
      <c r="I5">
        <f>AVERAGE(11.2,10.5)</f>
        <v>10.85</v>
      </c>
      <c r="J5">
        <v>79</v>
      </c>
      <c r="K5">
        <v>33.700000000000003</v>
      </c>
      <c r="L5" s="4" t="s">
        <v>1534</v>
      </c>
    </row>
    <row r="7" spans="1:12" x14ac:dyDescent="0.25">
      <c r="A7" s="5" t="s">
        <v>1168</v>
      </c>
      <c r="B7" s="6">
        <f t="shared" ref="B7:K7" si="0">AVERAGE(B4:B5)</f>
        <v>90.5</v>
      </c>
      <c r="C7" s="6">
        <f t="shared" si="0"/>
        <v>20.350000000000001</v>
      </c>
      <c r="D7" s="6">
        <f t="shared" si="0"/>
        <v>15.637</v>
      </c>
      <c r="E7" s="6">
        <f t="shared" si="0"/>
        <v>12.1</v>
      </c>
      <c r="F7" s="6">
        <f t="shared" si="0"/>
        <v>77.099999999999994</v>
      </c>
      <c r="G7" s="6">
        <f t="shared" si="0"/>
        <v>14.25</v>
      </c>
      <c r="H7" s="6">
        <f t="shared" si="0"/>
        <v>13.2</v>
      </c>
      <c r="I7" s="6">
        <f t="shared" si="0"/>
        <v>9.0500000000000007</v>
      </c>
      <c r="J7" s="6">
        <f t="shared" si="0"/>
        <v>77.8</v>
      </c>
      <c r="K7" s="6">
        <f t="shared" si="0"/>
        <v>35.900000000000006</v>
      </c>
    </row>
  </sheetData>
  <mergeCells count="2">
    <mergeCell ref="G2:J2"/>
    <mergeCell ref="D2:F2"/>
  </mergeCells>
  <hyperlinks>
    <hyperlink ref="L4" r:id="rId1" xr:uid="{D5958BBA-ECF2-6440-A897-0863DF1CA6B7}"/>
    <hyperlink ref="L5" r:id="rId2" xr:uid="{E400FA86-B61E-2049-8835-368FC89D68E7}"/>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9"/>
  <sheetViews>
    <sheetView workbookViewId="0">
      <selection sqref="A1:L3"/>
    </sheetView>
  </sheetViews>
  <sheetFormatPr defaultColWidth="8.85546875" defaultRowHeight="15" x14ac:dyDescent="0.25"/>
  <cols>
    <col min="1" max="1" width="29.42578125" customWidth="1"/>
    <col min="2" max="2" width="23.42578125" customWidth="1"/>
    <col min="3" max="4" width="9.7109375" bestFit="1" customWidth="1"/>
    <col min="5" max="5" width="10.140625" bestFit="1" customWidth="1"/>
    <col min="6" max="6" width="10.140625" customWidth="1"/>
    <col min="7" max="7" width="6.28515625" bestFit="1" customWidth="1"/>
    <col min="8" max="8" width="14.85546875" bestFit="1" customWidth="1"/>
    <col min="9" max="9" width="17.7109375" bestFit="1" customWidth="1"/>
    <col min="10" max="10" width="17.7109375" customWidth="1"/>
    <col min="11" max="11" width="9" bestFit="1" customWidth="1"/>
    <col min="12" max="12" width="35.28515625" bestFit="1" customWidth="1"/>
  </cols>
  <sheetData>
    <row r="1" spans="1:12" ht="18.75" x14ac:dyDescent="0.25">
      <c r="A1" s="2" t="s">
        <v>1535</v>
      </c>
      <c r="B1" s="2"/>
    </row>
    <row r="2" spans="1:12" ht="18.75" x14ac:dyDescent="0.25">
      <c r="A2" s="2"/>
      <c r="B2" s="2"/>
      <c r="C2" s="82" t="s">
        <v>1146</v>
      </c>
      <c r="D2" s="82"/>
      <c r="E2" s="82"/>
      <c r="F2" s="82"/>
      <c r="G2" s="82" t="s">
        <v>1147</v>
      </c>
      <c r="H2" s="82"/>
      <c r="I2" s="82"/>
      <c r="J2" s="82"/>
      <c r="K2" s="8"/>
    </row>
    <row r="3" spans="1:12" x14ac:dyDescent="0.25">
      <c r="A3" s="3" t="s">
        <v>1148</v>
      </c>
      <c r="B3" s="3" t="s">
        <v>1466</v>
      </c>
      <c r="C3" s="3" t="s">
        <v>1150</v>
      </c>
      <c r="D3" s="3" t="s">
        <v>1151</v>
      </c>
      <c r="E3" s="3" t="s">
        <v>1152</v>
      </c>
      <c r="F3" s="3" t="s">
        <v>1157</v>
      </c>
      <c r="G3" s="3" t="s">
        <v>1225</v>
      </c>
      <c r="H3" s="3" t="s">
        <v>1155</v>
      </c>
      <c r="I3" s="3" t="s">
        <v>1156</v>
      </c>
      <c r="J3" s="3" t="s">
        <v>1153</v>
      </c>
      <c r="K3" s="3" t="s">
        <v>1158</v>
      </c>
      <c r="L3" s="3" t="s">
        <v>1159</v>
      </c>
    </row>
    <row r="4" spans="1:12" x14ac:dyDescent="0.25">
      <c r="A4" t="s">
        <v>1536</v>
      </c>
      <c r="B4">
        <v>90.9</v>
      </c>
      <c r="C4">
        <v>20</v>
      </c>
      <c r="D4">
        <f>C4*0.784</f>
        <v>15.68</v>
      </c>
      <c r="F4">
        <v>81.8</v>
      </c>
      <c r="G4">
        <v>14</v>
      </c>
      <c r="H4">
        <v>12.7</v>
      </c>
      <c r="I4">
        <v>10.6</v>
      </c>
      <c r="J4">
        <v>73.8</v>
      </c>
      <c r="K4">
        <v>47.3</v>
      </c>
      <c r="L4" s="4" t="s">
        <v>1537</v>
      </c>
    </row>
    <row r="5" spans="1:12" x14ac:dyDescent="0.25">
      <c r="A5" t="s">
        <v>1538</v>
      </c>
      <c r="B5">
        <v>92.2</v>
      </c>
      <c r="C5">
        <v>21.2</v>
      </c>
      <c r="D5">
        <v>17.5</v>
      </c>
      <c r="E5">
        <v>13.2</v>
      </c>
      <c r="F5">
        <v>82.8</v>
      </c>
      <c r="G5">
        <v>13.5</v>
      </c>
      <c r="H5">
        <v>12.3</v>
      </c>
      <c r="I5">
        <v>9.4</v>
      </c>
      <c r="J5">
        <v>76</v>
      </c>
      <c r="K5">
        <v>45</v>
      </c>
      <c r="L5" s="4" t="s">
        <v>1539</v>
      </c>
    </row>
    <row r="6" spans="1:12" x14ac:dyDescent="0.25">
      <c r="A6" t="s">
        <v>1540</v>
      </c>
      <c r="B6">
        <v>92.9</v>
      </c>
      <c r="C6">
        <v>21.5</v>
      </c>
      <c r="D6">
        <v>15.5</v>
      </c>
      <c r="E6">
        <v>11.9</v>
      </c>
      <c r="F6">
        <v>77.5</v>
      </c>
      <c r="I6">
        <v>9.1</v>
      </c>
      <c r="K6">
        <v>37.4</v>
      </c>
      <c r="L6" s="4" t="s">
        <v>1541</v>
      </c>
    </row>
    <row r="7" spans="1:12" x14ac:dyDescent="0.25">
      <c r="A7" t="s">
        <v>1542</v>
      </c>
      <c r="B7">
        <v>90.2</v>
      </c>
      <c r="C7">
        <v>19.899999999999999</v>
      </c>
      <c r="D7">
        <v>13.5</v>
      </c>
      <c r="E7">
        <v>10.199999999999999</v>
      </c>
      <c r="F7">
        <v>79.3</v>
      </c>
      <c r="G7">
        <v>11.8</v>
      </c>
      <c r="H7">
        <v>10.8</v>
      </c>
      <c r="J7">
        <v>70.5</v>
      </c>
      <c r="K7">
        <v>40</v>
      </c>
      <c r="L7" s="4" t="s">
        <v>1543</v>
      </c>
    </row>
    <row r="9" spans="1:12" x14ac:dyDescent="0.25">
      <c r="A9" s="5" t="s">
        <v>1168</v>
      </c>
      <c r="B9" s="6">
        <f>AVERAGE(B4:B7)</f>
        <v>91.55</v>
      </c>
      <c r="C9" s="6">
        <f>AVERAGE(C4:C7)</f>
        <v>20.65</v>
      </c>
      <c r="D9" s="6">
        <f t="shared" ref="D9:I9" si="0">AVERAGE(D4:D7)</f>
        <v>15.545</v>
      </c>
      <c r="E9" s="6">
        <f t="shared" si="0"/>
        <v>11.766666666666666</v>
      </c>
      <c r="F9" s="6">
        <f>AVERAGE(F4:F7)</f>
        <v>80.349999999999994</v>
      </c>
      <c r="G9" s="6">
        <f t="shared" si="0"/>
        <v>13.1</v>
      </c>
      <c r="H9" s="6">
        <f t="shared" si="0"/>
        <v>11.933333333333332</v>
      </c>
      <c r="I9" s="6">
        <f t="shared" si="0"/>
        <v>9.7000000000000011</v>
      </c>
      <c r="J9" s="6">
        <f>AVERAGE(J4:J7)</f>
        <v>73.433333333333337</v>
      </c>
      <c r="K9" s="6">
        <f>AVERAGE(K4:K7)</f>
        <v>42.424999999999997</v>
      </c>
    </row>
  </sheetData>
  <mergeCells count="2">
    <mergeCell ref="C2:F2"/>
    <mergeCell ref="G2:J2"/>
  </mergeCells>
  <hyperlinks>
    <hyperlink ref="L4" r:id="rId1" xr:uid="{00000000-0004-0000-1200-000000000000}"/>
    <hyperlink ref="L5" r:id="rId2" xr:uid="{6AF129B1-5D44-5748-A480-DDDC21A172F5}"/>
    <hyperlink ref="L6" r:id="rId3" xr:uid="{DA3BBB5B-7619-E945-9AAF-555AAD6613A4}"/>
    <hyperlink ref="L7" r:id="rId4" xr:uid="{F30C2CDE-C717-3D46-BBD3-A12FE6F100A8}"/>
  </hyperlinks>
  <pageMargins left="0.7" right="0.7" top="0.75" bottom="0.75" header="0.3" footer="0.3"/>
  <pageSetup paperSize="9" orientation="portrait"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EA3BD-6003-C541-9F4C-0D1C42D0BC29}">
  <dimension ref="A1:L7"/>
  <sheetViews>
    <sheetView workbookViewId="0">
      <selection activeCell="B3" sqref="B3"/>
    </sheetView>
  </sheetViews>
  <sheetFormatPr defaultColWidth="11.42578125" defaultRowHeight="15" x14ac:dyDescent="0.25"/>
  <cols>
    <col min="1" max="1" width="25.85546875" customWidth="1"/>
  </cols>
  <sheetData>
    <row r="1" spans="1:12" ht="18.75" x14ac:dyDescent="0.25">
      <c r="A1" s="2" t="s">
        <v>1544</v>
      </c>
      <c r="B1" s="2"/>
    </row>
    <row r="2" spans="1:12" ht="18.75" x14ac:dyDescent="0.25">
      <c r="A2" s="2"/>
      <c r="B2" s="2"/>
      <c r="C2" s="82" t="s">
        <v>1146</v>
      </c>
      <c r="D2" s="82"/>
      <c r="E2" s="82"/>
      <c r="F2" s="82"/>
      <c r="G2" s="82" t="s">
        <v>1147</v>
      </c>
      <c r="H2" s="82"/>
      <c r="I2" s="82"/>
      <c r="J2" s="82"/>
      <c r="K2" s="8"/>
    </row>
    <row r="3" spans="1:12" x14ac:dyDescent="0.25">
      <c r="A3" s="3" t="s">
        <v>1148</v>
      </c>
      <c r="B3" s="3" t="s">
        <v>1466</v>
      </c>
      <c r="C3" s="3" t="s">
        <v>1150</v>
      </c>
      <c r="D3" s="3" t="s">
        <v>1151</v>
      </c>
      <c r="E3" s="3" t="s">
        <v>1152</v>
      </c>
      <c r="F3" s="3" t="s">
        <v>1157</v>
      </c>
      <c r="G3" s="3" t="s">
        <v>1484</v>
      </c>
      <c r="H3" s="3" t="s">
        <v>1155</v>
      </c>
      <c r="I3" s="3" t="s">
        <v>1156</v>
      </c>
      <c r="J3" s="3" t="s">
        <v>1153</v>
      </c>
      <c r="K3" s="3" t="s">
        <v>1158</v>
      </c>
      <c r="L3" s="3" t="s">
        <v>1159</v>
      </c>
    </row>
    <row r="4" spans="1:12" x14ac:dyDescent="0.25">
      <c r="A4" t="s">
        <v>1545</v>
      </c>
      <c r="B4">
        <v>95.8</v>
      </c>
      <c r="C4">
        <v>17.7</v>
      </c>
      <c r="G4">
        <v>12.1</v>
      </c>
      <c r="H4">
        <v>10.9</v>
      </c>
      <c r="I4">
        <v>11.8</v>
      </c>
      <c r="J4">
        <v>81.2</v>
      </c>
      <c r="K4">
        <v>54.9</v>
      </c>
      <c r="L4" t="s">
        <v>1546</v>
      </c>
    </row>
    <row r="5" spans="1:12" x14ac:dyDescent="0.25">
      <c r="A5" t="s">
        <v>1547</v>
      </c>
      <c r="B5">
        <v>93.2</v>
      </c>
      <c r="C5">
        <v>16.7</v>
      </c>
      <c r="G5">
        <v>11.6</v>
      </c>
      <c r="H5">
        <v>10.199999999999999</v>
      </c>
      <c r="I5">
        <v>11.9</v>
      </c>
      <c r="J5">
        <v>82.1</v>
      </c>
      <c r="K5">
        <v>62</v>
      </c>
      <c r="L5" t="s">
        <v>1548</v>
      </c>
    </row>
    <row r="7" spans="1:12" x14ac:dyDescent="0.25">
      <c r="A7" t="s">
        <v>1168</v>
      </c>
      <c r="B7">
        <f>AVERAGE(B4,B5)</f>
        <v>94.5</v>
      </c>
      <c r="C7">
        <f>AVERAGE(C4,C5)</f>
        <v>17.2</v>
      </c>
      <c r="G7">
        <f t="shared" ref="G7:K7" si="0">AVERAGE(G4,G5)</f>
        <v>11.85</v>
      </c>
      <c r="H7">
        <f t="shared" si="0"/>
        <v>10.55</v>
      </c>
      <c r="I7">
        <f t="shared" si="0"/>
        <v>11.850000000000001</v>
      </c>
      <c r="J7">
        <f t="shared" si="0"/>
        <v>81.650000000000006</v>
      </c>
      <c r="K7">
        <f t="shared" si="0"/>
        <v>58.45</v>
      </c>
    </row>
  </sheetData>
  <mergeCells count="2">
    <mergeCell ref="C2:F2"/>
    <mergeCell ref="G2:J2"/>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EE6CE-8F56-934A-A583-B5CCD3E3ED75}">
  <dimension ref="A1:L8"/>
  <sheetViews>
    <sheetView workbookViewId="0">
      <selection activeCell="I30" sqref="I30"/>
    </sheetView>
  </sheetViews>
  <sheetFormatPr defaultColWidth="11.42578125" defaultRowHeight="15" x14ac:dyDescent="0.25"/>
  <cols>
    <col min="1" max="1" width="22.42578125" customWidth="1"/>
  </cols>
  <sheetData>
    <row r="1" spans="1:12" ht="18.75" x14ac:dyDescent="0.25">
      <c r="A1" s="2" t="s">
        <v>1549</v>
      </c>
      <c r="B1" s="2"/>
    </row>
    <row r="2" spans="1:12" ht="18.75" x14ac:dyDescent="0.25">
      <c r="A2" s="2"/>
      <c r="B2" s="2"/>
      <c r="C2" s="82" t="s">
        <v>1146</v>
      </c>
      <c r="D2" s="82"/>
      <c r="E2" s="82"/>
      <c r="F2" s="82"/>
      <c r="G2" s="82" t="s">
        <v>1147</v>
      </c>
      <c r="H2" s="82"/>
      <c r="I2" s="82"/>
      <c r="J2" s="82"/>
      <c r="K2" s="8"/>
    </row>
    <row r="3" spans="1:12" x14ac:dyDescent="0.25">
      <c r="A3" s="3" t="s">
        <v>1148</v>
      </c>
      <c r="B3" s="3" t="s">
        <v>1466</v>
      </c>
      <c r="C3" s="3" t="s">
        <v>1150</v>
      </c>
      <c r="D3" s="3" t="s">
        <v>1151</v>
      </c>
      <c r="E3" s="3" t="s">
        <v>1152</v>
      </c>
      <c r="F3" s="3" t="s">
        <v>1157</v>
      </c>
      <c r="G3" s="3" t="s">
        <v>1484</v>
      </c>
      <c r="H3" s="3" t="s">
        <v>1155</v>
      </c>
      <c r="I3" s="3" t="s">
        <v>1156</v>
      </c>
      <c r="J3" s="3" t="s">
        <v>1153</v>
      </c>
      <c r="K3" s="3" t="s">
        <v>1158</v>
      </c>
      <c r="L3" s="3" t="s">
        <v>1159</v>
      </c>
    </row>
    <row r="4" spans="1:12" x14ac:dyDescent="0.25">
      <c r="A4" t="s">
        <v>1550</v>
      </c>
      <c r="B4">
        <v>92.1</v>
      </c>
      <c r="C4">
        <v>21.9</v>
      </c>
      <c r="D4">
        <v>21.3</v>
      </c>
      <c r="E4">
        <v>14.8</v>
      </c>
      <c r="G4">
        <v>19.5</v>
      </c>
      <c r="H4">
        <v>16</v>
      </c>
      <c r="I4">
        <v>16</v>
      </c>
      <c r="J4">
        <v>92.5</v>
      </c>
      <c r="K4">
        <v>75.400000000000006</v>
      </c>
      <c r="L4" t="s">
        <v>1551</v>
      </c>
    </row>
    <row r="5" spans="1:12" x14ac:dyDescent="0.25">
      <c r="A5" t="s">
        <v>1552</v>
      </c>
      <c r="B5">
        <v>92.2</v>
      </c>
      <c r="C5">
        <v>20.399999999999999</v>
      </c>
      <c r="D5">
        <v>19.600000000000001</v>
      </c>
      <c r="E5">
        <v>13.6</v>
      </c>
      <c r="F5">
        <v>95</v>
      </c>
      <c r="G5">
        <v>18.100000000000001</v>
      </c>
      <c r="H5">
        <v>16.5</v>
      </c>
      <c r="I5">
        <v>14.4</v>
      </c>
      <c r="J5">
        <v>86.8</v>
      </c>
      <c r="K5">
        <v>70.599999999999994</v>
      </c>
      <c r="L5" t="s">
        <v>1553</v>
      </c>
    </row>
    <row r="6" spans="1:12" x14ac:dyDescent="0.25">
      <c r="A6" t="s">
        <v>1554</v>
      </c>
      <c r="B6">
        <v>92.5</v>
      </c>
      <c r="C6">
        <v>19</v>
      </c>
      <c r="G6">
        <v>16.5</v>
      </c>
      <c r="I6">
        <v>12</v>
      </c>
      <c r="K6">
        <v>48.4</v>
      </c>
      <c r="L6" t="s">
        <v>1555</v>
      </c>
    </row>
    <row r="8" spans="1:12" x14ac:dyDescent="0.25">
      <c r="A8" t="s">
        <v>1168</v>
      </c>
      <c r="B8">
        <f>AVERAGE(B4,B5,B6)</f>
        <v>92.266666666666666</v>
      </c>
      <c r="C8">
        <f t="shared" ref="C8:K8" si="0">AVERAGE(C4,C5,C6)</f>
        <v>20.433333333333334</v>
      </c>
      <c r="D8">
        <f t="shared" si="0"/>
        <v>20.450000000000003</v>
      </c>
      <c r="E8">
        <f t="shared" si="0"/>
        <v>14.2</v>
      </c>
      <c r="F8">
        <f t="shared" si="0"/>
        <v>95</v>
      </c>
      <c r="G8">
        <f t="shared" si="0"/>
        <v>18.033333333333335</v>
      </c>
      <c r="H8">
        <f t="shared" si="0"/>
        <v>16.25</v>
      </c>
      <c r="I8">
        <f t="shared" si="0"/>
        <v>14.133333333333333</v>
      </c>
      <c r="J8">
        <f t="shared" si="0"/>
        <v>89.65</v>
      </c>
      <c r="K8">
        <f t="shared" si="0"/>
        <v>64.8</v>
      </c>
    </row>
  </sheetData>
  <mergeCells count="2">
    <mergeCell ref="C2:F2"/>
    <mergeCell ref="G2:J2"/>
  </mergeCell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L7"/>
  <sheetViews>
    <sheetView workbookViewId="0">
      <selection activeCell="I12" sqref="I12"/>
    </sheetView>
  </sheetViews>
  <sheetFormatPr defaultColWidth="8.85546875" defaultRowHeight="15" x14ac:dyDescent="0.25"/>
  <cols>
    <col min="1" max="1" width="29.85546875" customWidth="1"/>
    <col min="2" max="2" width="9.7109375" bestFit="1" customWidth="1"/>
    <col min="3" max="3" width="14.7109375" customWidth="1"/>
    <col min="4" max="4" width="9.7109375" bestFit="1" customWidth="1"/>
    <col min="5" max="5" width="10.140625" bestFit="1" customWidth="1"/>
    <col min="6" max="6" width="10.140625" customWidth="1"/>
    <col min="7" max="7" width="6.28515625" bestFit="1" customWidth="1"/>
    <col min="8" max="8" width="14.85546875" bestFit="1" customWidth="1"/>
    <col min="9" max="9" width="17.7109375" bestFit="1" customWidth="1"/>
    <col min="10" max="10" width="17.7109375" customWidth="1"/>
    <col min="11" max="11" width="9" bestFit="1" customWidth="1"/>
    <col min="12" max="12" width="35.28515625" bestFit="1" customWidth="1"/>
  </cols>
  <sheetData>
    <row r="1" spans="1:12" ht="18.75" x14ac:dyDescent="0.25">
      <c r="A1" s="2" t="s">
        <v>1471</v>
      </c>
    </row>
    <row r="2" spans="1:12" ht="18.75" x14ac:dyDescent="0.25">
      <c r="A2" s="2"/>
      <c r="D2" s="82" t="s">
        <v>1146</v>
      </c>
      <c r="E2" s="82"/>
      <c r="F2" s="82"/>
      <c r="G2" s="82" t="s">
        <v>1147</v>
      </c>
      <c r="H2" s="82"/>
      <c r="I2" s="82"/>
      <c r="J2" s="82"/>
      <c r="K2" s="8"/>
    </row>
    <row r="3" spans="1:12" x14ac:dyDescent="0.25">
      <c r="A3" s="3" t="s">
        <v>1148</v>
      </c>
      <c r="B3" s="3" t="s">
        <v>1150</v>
      </c>
      <c r="C3" s="3" t="s">
        <v>1149</v>
      </c>
      <c r="D3" s="3" t="s">
        <v>1151</v>
      </c>
      <c r="E3" s="3" t="s">
        <v>1152</v>
      </c>
      <c r="F3" s="3" t="s">
        <v>1157</v>
      </c>
      <c r="G3" s="3" t="s">
        <v>1225</v>
      </c>
      <c r="H3" s="3" t="s">
        <v>1155</v>
      </c>
      <c r="I3" s="3" t="s">
        <v>1156</v>
      </c>
      <c r="J3" s="3" t="s">
        <v>1157</v>
      </c>
      <c r="K3" s="3" t="s">
        <v>1158</v>
      </c>
      <c r="L3" s="3" t="s">
        <v>1159</v>
      </c>
    </row>
    <row r="4" spans="1:12" x14ac:dyDescent="0.25">
      <c r="A4" t="s">
        <v>1556</v>
      </c>
      <c r="B4">
        <v>20.100000000000001</v>
      </c>
      <c r="C4">
        <v>91.2</v>
      </c>
      <c r="D4">
        <v>14.3</v>
      </c>
      <c r="E4">
        <v>11.6</v>
      </c>
      <c r="F4">
        <v>73.3</v>
      </c>
      <c r="G4">
        <v>8.4</v>
      </c>
      <c r="H4">
        <v>7.8</v>
      </c>
      <c r="I4">
        <v>11.1</v>
      </c>
      <c r="J4">
        <v>63.1</v>
      </c>
      <c r="K4">
        <v>16.7</v>
      </c>
      <c r="L4" s="4" t="s">
        <v>1557</v>
      </c>
    </row>
    <row r="5" spans="1:12" x14ac:dyDescent="0.25">
      <c r="A5" t="s">
        <v>1558</v>
      </c>
      <c r="B5">
        <v>18.8</v>
      </c>
      <c r="C5">
        <v>90.9</v>
      </c>
      <c r="D5" s="1">
        <v>13.3</v>
      </c>
      <c r="E5">
        <v>10.7</v>
      </c>
      <c r="F5">
        <v>74.2</v>
      </c>
      <c r="G5">
        <v>7.8</v>
      </c>
      <c r="H5">
        <v>7.3</v>
      </c>
      <c r="I5">
        <v>10.1</v>
      </c>
      <c r="J5" s="6">
        <v>64.7</v>
      </c>
      <c r="K5">
        <v>18.7</v>
      </c>
      <c r="L5" s="4" t="s">
        <v>1559</v>
      </c>
    </row>
    <row r="7" spans="1:12" x14ac:dyDescent="0.25">
      <c r="A7" s="5" t="s">
        <v>1168</v>
      </c>
      <c r="B7" s="6">
        <f t="shared" ref="B7:K7" si="0">AVERAGE(B4:B5)</f>
        <v>19.450000000000003</v>
      </c>
      <c r="C7" s="6">
        <f>AVERAGE(C4,C5)</f>
        <v>91.050000000000011</v>
      </c>
      <c r="D7" s="6">
        <f t="shared" si="0"/>
        <v>13.8</v>
      </c>
      <c r="E7" s="6">
        <f t="shared" si="0"/>
        <v>11.149999999999999</v>
      </c>
      <c r="F7" s="6">
        <f>AVERAGE(F4,F5)</f>
        <v>73.75</v>
      </c>
      <c r="G7" s="6">
        <f t="shared" si="0"/>
        <v>8.1</v>
      </c>
      <c r="H7" s="6">
        <f t="shared" si="0"/>
        <v>7.55</v>
      </c>
      <c r="I7" s="6">
        <f t="shared" si="0"/>
        <v>10.6</v>
      </c>
      <c r="J7" s="10">
        <f>AVERAGE(J5,J4)</f>
        <v>63.900000000000006</v>
      </c>
      <c r="K7" s="6">
        <f t="shared" si="0"/>
        <v>17.7</v>
      </c>
    </row>
  </sheetData>
  <mergeCells count="2">
    <mergeCell ref="G2:J2"/>
    <mergeCell ref="D2:F2"/>
  </mergeCells>
  <hyperlinks>
    <hyperlink ref="L4" r:id="rId1" xr:uid="{EAEE8D36-EC58-2C41-B6C3-860E9104012C}"/>
    <hyperlink ref="L5" r:id="rId2" xr:uid="{88E4F2E5-A3CE-AD43-AC85-FF908C9B9FFC}"/>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17"/>
  <sheetViews>
    <sheetView workbookViewId="0">
      <selection activeCell="J21" sqref="J21"/>
    </sheetView>
  </sheetViews>
  <sheetFormatPr defaultColWidth="9.140625" defaultRowHeight="15" x14ac:dyDescent="0.25"/>
  <cols>
    <col min="1" max="1" width="33.140625" bestFit="1" customWidth="1"/>
    <col min="2" max="2" width="33.140625" customWidth="1"/>
  </cols>
  <sheetData>
    <row r="1" spans="1:12" ht="18.75" x14ac:dyDescent="0.3">
      <c r="A1" s="12" t="s">
        <v>1032</v>
      </c>
      <c r="B1" s="12"/>
      <c r="D1" t="s">
        <v>1560</v>
      </c>
    </row>
    <row r="2" spans="1:12" ht="14.25" customHeight="1" x14ac:dyDescent="0.3">
      <c r="A2" s="12"/>
      <c r="B2" s="12"/>
      <c r="D2" s="82" t="s">
        <v>1146</v>
      </c>
      <c r="E2" s="82"/>
      <c r="F2" s="8"/>
      <c r="G2" s="82" t="s">
        <v>1147</v>
      </c>
      <c r="H2" s="82"/>
      <c r="I2" s="82"/>
      <c r="J2" s="8"/>
      <c r="K2" s="8"/>
    </row>
    <row r="3" spans="1:12" x14ac:dyDescent="0.25">
      <c r="A3" s="3" t="s">
        <v>1148</v>
      </c>
      <c r="B3" s="3" t="s">
        <v>1466</v>
      </c>
      <c r="C3" s="3" t="s">
        <v>1150</v>
      </c>
      <c r="D3" s="3" t="s">
        <v>1151</v>
      </c>
      <c r="E3" s="3" t="s">
        <v>1152</v>
      </c>
      <c r="F3" s="3" t="s">
        <v>1157</v>
      </c>
      <c r="G3" s="3" t="s">
        <v>1151</v>
      </c>
      <c r="H3" s="3" t="s">
        <v>1155</v>
      </c>
      <c r="I3" s="3" t="s">
        <v>1156</v>
      </c>
      <c r="J3" s="3" t="s">
        <v>1157</v>
      </c>
      <c r="K3" s="3" t="s">
        <v>1158</v>
      </c>
      <c r="L3" s="3" t="s">
        <v>1159</v>
      </c>
    </row>
    <row r="4" spans="1:12" x14ac:dyDescent="0.25">
      <c r="A4" t="s">
        <v>1561</v>
      </c>
      <c r="B4">
        <v>87</v>
      </c>
      <c r="C4">
        <v>18.899999999999999</v>
      </c>
      <c r="D4">
        <v>13.5</v>
      </c>
      <c r="E4">
        <v>11</v>
      </c>
      <c r="F4">
        <v>68.2</v>
      </c>
      <c r="G4">
        <v>10.8</v>
      </c>
      <c r="H4">
        <v>10.199999999999999</v>
      </c>
      <c r="I4">
        <f>AVERAGE(7.8,7.4)</f>
        <v>7.6</v>
      </c>
      <c r="J4">
        <v>64.900000000000006</v>
      </c>
      <c r="K4">
        <v>17.3</v>
      </c>
      <c r="L4" s="4" t="s">
        <v>1562</v>
      </c>
    </row>
    <row r="5" spans="1:12" x14ac:dyDescent="0.25">
      <c r="A5" t="s">
        <v>1563</v>
      </c>
      <c r="B5">
        <v>90.6</v>
      </c>
      <c r="C5">
        <v>19.8</v>
      </c>
      <c r="D5">
        <v>16.7</v>
      </c>
      <c r="E5">
        <v>13.7</v>
      </c>
      <c r="G5">
        <v>16.600000000000001</v>
      </c>
      <c r="H5">
        <v>15.9</v>
      </c>
      <c r="K5">
        <v>19.3</v>
      </c>
      <c r="L5" s="4" t="s">
        <v>1564</v>
      </c>
    </row>
    <row r="6" spans="1:12" x14ac:dyDescent="0.25">
      <c r="A6" t="s">
        <v>1565</v>
      </c>
      <c r="B6">
        <v>88</v>
      </c>
      <c r="C6">
        <v>18.5</v>
      </c>
      <c r="D6">
        <v>14.5</v>
      </c>
      <c r="E6">
        <v>11.9</v>
      </c>
      <c r="F6">
        <v>83</v>
      </c>
      <c r="G6">
        <v>14.8</v>
      </c>
      <c r="H6">
        <v>14.1</v>
      </c>
      <c r="K6">
        <v>16.899999999999999</v>
      </c>
      <c r="L6" s="4" t="s">
        <v>1566</v>
      </c>
    </row>
    <row r="7" spans="1:12" x14ac:dyDescent="0.25">
      <c r="A7" t="s">
        <v>1567</v>
      </c>
      <c r="B7">
        <v>89.8</v>
      </c>
      <c r="C7">
        <v>18.8</v>
      </c>
      <c r="D7">
        <v>15.8</v>
      </c>
      <c r="E7">
        <v>13.2</v>
      </c>
      <c r="G7">
        <v>15</v>
      </c>
      <c r="I7">
        <v>9.3000000000000007</v>
      </c>
      <c r="K7">
        <v>11.7</v>
      </c>
      <c r="L7" s="4" t="s">
        <v>1568</v>
      </c>
    </row>
    <row r="8" spans="1:12" s="7" customFormat="1" x14ac:dyDescent="0.25">
      <c r="A8" s="9" t="s">
        <v>1569</v>
      </c>
      <c r="B8" s="9">
        <v>88.7</v>
      </c>
      <c r="C8" s="9">
        <v>18.5</v>
      </c>
      <c r="D8" s="9">
        <v>13.4</v>
      </c>
      <c r="E8" s="9">
        <v>11</v>
      </c>
      <c r="F8" s="9">
        <v>92.3</v>
      </c>
      <c r="G8" s="9">
        <v>10.1</v>
      </c>
      <c r="H8" s="9">
        <v>9.6999999999999993</v>
      </c>
      <c r="I8" s="9">
        <v>8.8000000000000007</v>
      </c>
      <c r="J8" s="9">
        <v>45.5</v>
      </c>
      <c r="K8" s="9">
        <v>11.9</v>
      </c>
      <c r="L8" s="13" t="s">
        <v>1570</v>
      </c>
    </row>
    <row r="9" spans="1:12" x14ac:dyDescent="0.25">
      <c r="A9" t="s">
        <v>1502</v>
      </c>
      <c r="B9">
        <v>90</v>
      </c>
      <c r="C9">
        <v>20.5</v>
      </c>
      <c r="D9">
        <v>19</v>
      </c>
      <c r="E9">
        <v>15.8</v>
      </c>
      <c r="F9">
        <v>75.8</v>
      </c>
      <c r="G9">
        <v>17.2</v>
      </c>
      <c r="H9">
        <v>16.7</v>
      </c>
      <c r="K9">
        <v>14.2</v>
      </c>
      <c r="L9" s="4" t="s">
        <v>1503</v>
      </c>
    </row>
    <row r="10" spans="1:12" x14ac:dyDescent="0.25">
      <c r="A10" t="s">
        <v>1504</v>
      </c>
      <c r="B10">
        <v>90.1</v>
      </c>
      <c r="C10">
        <v>21.2</v>
      </c>
      <c r="D10">
        <v>16</v>
      </c>
      <c r="E10">
        <v>13.1</v>
      </c>
      <c r="F10">
        <v>68</v>
      </c>
      <c r="G10">
        <v>16.2</v>
      </c>
      <c r="H10">
        <v>15.6</v>
      </c>
      <c r="I10">
        <v>12.7</v>
      </c>
      <c r="J10">
        <v>79.5</v>
      </c>
      <c r="K10">
        <v>14.8</v>
      </c>
      <c r="L10" s="4" t="s">
        <v>1505</v>
      </c>
    </row>
    <row r="11" spans="1:12" x14ac:dyDescent="0.25">
      <c r="A11" t="s">
        <v>1506</v>
      </c>
      <c r="B11">
        <v>90.2</v>
      </c>
      <c r="C11">
        <v>20.2</v>
      </c>
      <c r="D11">
        <v>12.3</v>
      </c>
      <c r="E11">
        <v>10.1</v>
      </c>
      <c r="F11">
        <v>59.9</v>
      </c>
      <c r="G11">
        <v>13</v>
      </c>
      <c r="H11">
        <v>12.5</v>
      </c>
      <c r="I11">
        <f>AVERAGE(10.6,10.3)</f>
        <v>10.45</v>
      </c>
      <c r="J11">
        <v>68.900000000000006</v>
      </c>
      <c r="K11">
        <v>12.7</v>
      </c>
      <c r="L11" s="4" t="s">
        <v>1507</v>
      </c>
    </row>
    <row r="12" spans="1:12" x14ac:dyDescent="0.25">
      <c r="A12" t="s">
        <v>1508</v>
      </c>
      <c r="B12">
        <v>91.7</v>
      </c>
      <c r="C12">
        <v>19.3</v>
      </c>
      <c r="D12">
        <v>8.1999999999999993</v>
      </c>
      <c r="E12">
        <v>6.7</v>
      </c>
      <c r="F12">
        <v>39.6</v>
      </c>
      <c r="G12">
        <v>8.8000000000000007</v>
      </c>
      <c r="H12">
        <v>8.3000000000000007</v>
      </c>
      <c r="K12">
        <v>8.8000000000000007</v>
      </c>
      <c r="L12" s="4" t="s">
        <v>1509</v>
      </c>
    </row>
    <row r="13" spans="1:12" x14ac:dyDescent="0.25">
      <c r="A13" t="s">
        <v>1571</v>
      </c>
      <c r="B13">
        <v>87.9</v>
      </c>
      <c r="C13">
        <v>19.2</v>
      </c>
      <c r="D13">
        <v>14.8</v>
      </c>
      <c r="E13">
        <v>12.1</v>
      </c>
      <c r="F13">
        <v>70.400000000000006</v>
      </c>
      <c r="G13">
        <v>13.1</v>
      </c>
      <c r="H13">
        <v>13.2</v>
      </c>
      <c r="I13">
        <f>AVERAGE(10.5,10.1)</f>
        <v>10.3</v>
      </c>
      <c r="J13">
        <v>71.8</v>
      </c>
      <c r="K13">
        <v>17.7</v>
      </c>
      <c r="L13" s="4" t="s">
        <v>1572</v>
      </c>
    </row>
    <row r="15" spans="1:12" x14ac:dyDescent="0.25">
      <c r="A15" s="5" t="s">
        <v>1168</v>
      </c>
      <c r="B15" s="6">
        <f t="shared" ref="B15:K15" si="0">AVERAGE(B4:B13)</f>
        <v>89.4</v>
      </c>
      <c r="C15" s="6">
        <f t="shared" si="0"/>
        <v>19.489999999999998</v>
      </c>
      <c r="D15" s="6">
        <f t="shared" si="0"/>
        <v>14.420000000000002</v>
      </c>
      <c r="E15" s="6">
        <f t="shared" si="0"/>
        <v>11.859999999999998</v>
      </c>
      <c r="F15" s="6">
        <f t="shared" si="0"/>
        <v>69.650000000000006</v>
      </c>
      <c r="G15" s="6">
        <f t="shared" si="0"/>
        <v>13.559999999999999</v>
      </c>
      <c r="H15" s="6">
        <f t="shared" si="0"/>
        <v>12.911111111111111</v>
      </c>
      <c r="I15" s="6">
        <f t="shared" si="0"/>
        <v>9.8583333333333325</v>
      </c>
      <c r="J15" s="6">
        <f t="shared" si="0"/>
        <v>66.12</v>
      </c>
      <c r="K15" s="6">
        <f t="shared" si="0"/>
        <v>14.530000000000001</v>
      </c>
      <c r="L15" s="6"/>
    </row>
    <row r="17" spans="12:12" x14ac:dyDescent="0.25">
      <c r="L17" s="4"/>
    </row>
  </sheetData>
  <mergeCells count="2">
    <mergeCell ref="D2:E2"/>
    <mergeCell ref="G2:I2"/>
  </mergeCells>
  <hyperlinks>
    <hyperlink ref="L4" r:id="rId1" xr:uid="{00000000-0004-0000-1500-000000000000}"/>
    <hyperlink ref="L8" r:id="rId2" xr:uid="{00000000-0004-0000-1500-000001000000}"/>
    <hyperlink ref="L13" r:id="rId3" xr:uid="{00000000-0004-0000-1500-000002000000}"/>
    <hyperlink ref="L5" r:id="rId4" xr:uid="{00000000-0004-0000-1500-000003000000}"/>
    <hyperlink ref="L6" r:id="rId5" xr:uid="{00000000-0004-0000-1500-000004000000}"/>
    <hyperlink ref="L7" r:id="rId6" xr:uid="{00000000-0004-0000-1500-000005000000}"/>
    <hyperlink ref="L10" r:id="rId7" xr:uid="{00000000-0004-0000-1500-000006000000}"/>
    <hyperlink ref="L9" r:id="rId8" xr:uid="{B515F4C3-AF95-2243-95E7-E871B050B842}"/>
    <hyperlink ref="L11" r:id="rId9" xr:uid="{B8A5D873-7203-4145-BF11-F6310E298EA0}"/>
    <hyperlink ref="L12" r:id="rId10" xr:uid="{15DC3A89-FC98-C440-B9D1-65AAC863FBFC}"/>
  </hyperlinks>
  <pageMargins left="0.7" right="0.7" top="0.75" bottom="0.75" header="0.3" footer="0.3"/>
  <pageSetup paperSize="9" orientation="portrait" r:id="rId1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L19"/>
  <sheetViews>
    <sheetView workbookViewId="0">
      <selection activeCell="I23" sqref="I23"/>
    </sheetView>
  </sheetViews>
  <sheetFormatPr defaultColWidth="9.140625" defaultRowHeight="15" x14ac:dyDescent="0.25"/>
  <cols>
    <col min="1" max="1" width="44.140625" bestFit="1" customWidth="1"/>
    <col min="2" max="2" width="16.85546875" customWidth="1"/>
  </cols>
  <sheetData>
    <row r="1" spans="1:12" ht="18.75" x14ac:dyDescent="0.3">
      <c r="A1" s="12" t="s">
        <v>1573</v>
      </c>
      <c r="B1" s="12"/>
      <c r="C1" t="s">
        <v>1574</v>
      </c>
    </row>
    <row r="2" spans="1:12" ht="15.75" customHeight="1" x14ac:dyDescent="0.3">
      <c r="A2" s="12"/>
      <c r="B2" s="12"/>
      <c r="D2" s="82" t="s">
        <v>1146</v>
      </c>
      <c r="E2" s="82"/>
      <c r="F2" s="82"/>
      <c r="G2" s="82" t="s">
        <v>1147</v>
      </c>
      <c r="H2" s="82"/>
      <c r="I2" s="82"/>
      <c r="J2" s="82"/>
      <c r="K2" s="8"/>
    </row>
    <row r="3" spans="1:12" x14ac:dyDescent="0.25">
      <c r="A3" s="3" t="s">
        <v>1148</v>
      </c>
      <c r="B3" s="3" t="s">
        <v>1149</v>
      </c>
      <c r="C3" s="3" t="s">
        <v>1150</v>
      </c>
      <c r="D3" s="3" t="s">
        <v>1151</v>
      </c>
      <c r="E3" s="3" t="s">
        <v>1152</v>
      </c>
      <c r="F3" s="3" t="s">
        <v>1153</v>
      </c>
      <c r="G3" s="3" t="s">
        <v>1151</v>
      </c>
      <c r="H3" s="3" t="s">
        <v>1155</v>
      </c>
      <c r="I3" s="3" t="s">
        <v>1156</v>
      </c>
      <c r="J3" s="3" t="s">
        <v>1153</v>
      </c>
      <c r="K3" s="3" t="s">
        <v>1158</v>
      </c>
      <c r="L3" s="3" t="s">
        <v>1159</v>
      </c>
    </row>
    <row r="4" spans="1:12" x14ac:dyDescent="0.25">
      <c r="A4" t="s">
        <v>1575</v>
      </c>
      <c r="B4">
        <v>91</v>
      </c>
      <c r="C4">
        <v>19.7</v>
      </c>
      <c r="D4">
        <v>12.4</v>
      </c>
      <c r="E4">
        <v>9.9</v>
      </c>
      <c r="F4">
        <v>70.2</v>
      </c>
      <c r="G4">
        <v>10.6</v>
      </c>
      <c r="H4">
        <v>9.8000000000000007</v>
      </c>
      <c r="I4">
        <v>9.1999999999999993</v>
      </c>
      <c r="J4">
        <v>76.900000000000006</v>
      </c>
      <c r="K4">
        <v>25.8</v>
      </c>
      <c r="L4" s="4" t="s">
        <v>1576</v>
      </c>
    </row>
    <row r="5" spans="1:12" x14ac:dyDescent="0.25">
      <c r="A5" t="s">
        <v>1577</v>
      </c>
      <c r="B5">
        <v>24.9</v>
      </c>
      <c r="C5">
        <v>20.3</v>
      </c>
      <c r="D5">
        <v>12.6</v>
      </c>
      <c r="E5">
        <v>10</v>
      </c>
      <c r="F5">
        <v>76.5</v>
      </c>
      <c r="G5">
        <v>11</v>
      </c>
      <c r="H5">
        <v>10.1</v>
      </c>
      <c r="J5">
        <v>77</v>
      </c>
      <c r="K5">
        <v>25.9</v>
      </c>
      <c r="L5" s="4" t="s">
        <v>1578</v>
      </c>
    </row>
    <row r="6" spans="1:12" x14ac:dyDescent="0.25">
      <c r="A6" t="s">
        <v>1579</v>
      </c>
      <c r="B6">
        <v>25.6</v>
      </c>
      <c r="C6">
        <v>20.6</v>
      </c>
      <c r="D6">
        <v>13</v>
      </c>
      <c r="E6">
        <v>10.199999999999999</v>
      </c>
      <c r="F6">
        <v>78.3</v>
      </c>
      <c r="K6">
        <v>29.2</v>
      </c>
      <c r="L6" s="4" t="s">
        <v>1580</v>
      </c>
    </row>
    <row r="7" spans="1:12" x14ac:dyDescent="0.25">
      <c r="A7" t="s">
        <v>1581</v>
      </c>
      <c r="B7">
        <v>91</v>
      </c>
      <c r="C7">
        <v>20.7</v>
      </c>
      <c r="D7" s="10">
        <f>C7*0.64</f>
        <v>13.247999999999999</v>
      </c>
      <c r="G7">
        <v>13.6</v>
      </c>
      <c r="K7">
        <v>21.1</v>
      </c>
      <c r="L7" s="4" t="s">
        <v>1582</v>
      </c>
    </row>
    <row r="8" spans="1:12" x14ac:dyDescent="0.25">
      <c r="A8" t="s">
        <v>1583</v>
      </c>
      <c r="B8">
        <v>92.4</v>
      </c>
      <c r="C8">
        <v>20.2</v>
      </c>
      <c r="D8">
        <v>16.5</v>
      </c>
      <c r="E8">
        <v>13.1</v>
      </c>
      <c r="F8">
        <v>76.3</v>
      </c>
      <c r="G8">
        <v>15.1</v>
      </c>
      <c r="H8">
        <v>14.2</v>
      </c>
      <c r="I8">
        <f>AVERAGE(11,10.6)</f>
        <v>10.8</v>
      </c>
      <c r="J8">
        <v>76.099999999999994</v>
      </c>
      <c r="K8">
        <v>31.4</v>
      </c>
      <c r="L8" s="4" t="s">
        <v>1584</v>
      </c>
    </row>
    <row r="9" spans="1:12" x14ac:dyDescent="0.25">
      <c r="A9" t="s">
        <v>1585</v>
      </c>
      <c r="B9">
        <v>90.6</v>
      </c>
      <c r="C9">
        <v>20.5</v>
      </c>
      <c r="D9">
        <v>16.100000000000001</v>
      </c>
      <c r="E9">
        <v>12.5</v>
      </c>
      <c r="F9">
        <v>77.099999999999994</v>
      </c>
      <c r="G9">
        <v>13.9</v>
      </c>
      <c r="H9">
        <v>12.8</v>
      </c>
      <c r="I9">
        <f>AVERAGE(9.9,9.5)</f>
        <v>9.6999999999999993</v>
      </c>
      <c r="J9">
        <v>71.400000000000006</v>
      </c>
      <c r="K9">
        <v>37.299999999999997</v>
      </c>
      <c r="L9" s="4" t="s">
        <v>1586</v>
      </c>
    </row>
    <row r="10" spans="1:12" x14ac:dyDescent="0.25">
      <c r="A10" t="s">
        <v>1587</v>
      </c>
      <c r="B10">
        <v>24.1</v>
      </c>
      <c r="C10">
        <v>21.5</v>
      </c>
      <c r="D10">
        <v>11.1</v>
      </c>
      <c r="E10">
        <v>8.9</v>
      </c>
      <c r="F10">
        <v>73.900000000000006</v>
      </c>
      <c r="K10">
        <v>20.3</v>
      </c>
      <c r="L10" s="4" t="s">
        <v>1588</v>
      </c>
    </row>
    <row r="11" spans="1:12" x14ac:dyDescent="0.25">
      <c r="A11" t="s">
        <v>1589</v>
      </c>
      <c r="B11">
        <v>90.7</v>
      </c>
      <c r="C11">
        <v>21.3</v>
      </c>
      <c r="D11">
        <v>15.1</v>
      </c>
      <c r="E11">
        <v>12</v>
      </c>
      <c r="G11">
        <v>15.3</v>
      </c>
      <c r="H11">
        <v>14.4</v>
      </c>
      <c r="I11">
        <v>9.6</v>
      </c>
      <c r="K11">
        <v>27.8</v>
      </c>
      <c r="L11" s="4" t="s">
        <v>1590</v>
      </c>
    </row>
    <row r="12" spans="1:12" x14ac:dyDescent="0.25">
      <c r="A12" t="s">
        <v>1591</v>
      </c>
      <c r="B12">
        <v>91.3</v>
      </c>
      <c r="C12">
        <v>21.2</v>
      </c>
      <c r="D12">
        <v>14.2</v>
      </c>
      <c r="E12">
        <v>11.3</v>
      </c>
      <c r="G12">
        <v>14.5</v>
      </c>
      <c r="I12">
        <v>13.7</v>
      </c>
      <c r="K12">
        <v>28.2</v>
      </c>
      <c r="L12" s="4" t="s">
        <v>1592</v>
      </c>
    </row>
    <row r="13" spans="1:12" x14ac:dyDescent="0.25">
      <c r="A13" t="s">
        <v>1593</v>
      </c>
      <c r="B13">
        <v>89</v>
      </c>
      <c r="C13">
        <v>21.4</v>
      </c>
      <c r="D13">
        <v>17.8</v>
      </c>
      <c r="E13">
        <v>14.2</v>
      </c>
      <c r="F13">
        <v>77</v>
      </c>
      <c r="G13">
        <v>16.3</v>
      </c>
      <c r="H13">
        <v>15.3</v>
      </c>
      <c r="I13">
        <f>AVERAGE(12.6,12.3)</f>
        <v>12.45</v>
      </c>
      <c r="J13">
        <v>83</v>
      </c>
      <c r="K13">
        <v>29.5</v>
      </c>
      <c r="L13" s="4" t="s">
        <v>1594</v>
      </c>
    </row>
    <row r="14" spans="1:12" x14ac:dyDescent="0.25">
      <c r="A14" t="s">
        <v>1595</v>
      </c>
      <c r="B14">
        <v>92.2</v>
      </c>
      <c r="C14">
        <v>21</v>
      </c>
      <c r="D14">
        <v>17.899999999999999</v>
      </c>
      <c r="E14">
        <v>13.7</v>
      </c>
      <c r="F14">
        <v>78.7</v>
      </c>
      <c r="G14">
        <v>16.7</v>
      </c>
      <c r="H14">
        <v>15.6</v>
      </c>
      <c r="I14">
        <f>AVERAGE(12.6,12.4)</f>
        <v>12.5</v>
      </c>
      <c r="K14">
        <v>44</v>
      </c>
      <c r="L14" s="4" t="s">
        <v>1596</v>
      </c>
    </row>
    <row r="15" spans="1:12" x14ac:dyDescent="0.25">
      <c r="A15" t="s">
        <v>1597</v>
      </c>
      <c r="B15">
        <v>88.3</v>
      </c>
      <c r="C15">
        <v>19.2</v>
      </c>
      <c r="D15">
        <v>15.6</v>
      </c>
      <c r="E15">
        <v>12.4</v>
      </c>
      <c r="F15">
        <v>76.599999999999994</v>
      </c>
      <c r="G15">
        <v>14.1</v>
      </c>
      <c r="H15">
        <v>13.2</v>
      </c>
      <c r="I15">
        <v>10.199999999999999</v>
      </c>
      <c r="K15">
        <v>27.9</v>
      </c>
      <c r="L15" s="4" t="s">
        <v>1598</v>
      </c>
    </row>
    <row r="16" spans="1:12" x14ac:dyDescent="0.25">
      <c r="A16" t="s">
        <v>1599</v>
      </c>
      <c r="B16">
        <v>35.200000000000003</v>
      </c>
      <c r="C16">
        <v>21.7</v>
      </c>
      <c r="D16">
        <v>18.2</v>
      </c>
      <c r="E16">
        <v>14.4</v>
      </c>
      <c r="F16">
        <v>77.599999999999994</v>
      </c>
      <c r="G16">
        <v>15.3</v>
      </c>
      <c r="H16">
        <v>14.4</v>
      </c>
      <c r="I16">
        <f>AVERAGE(12.7,13)</f>
        <v>12.85</v>
      </c>
      <c r="K16">
        <v>31.8</v>
      </c>
      <c r="L16" s="4" t="s">
        <v>1600</v>
      </c>
    </row>
    <row r="17" spans="1:12" x14ac:dyDescent="0.25">
      <c r="A17" t="s">
        <v>1601</v>
      </c>
      <c r="B17">
        <v>92.9</v>
      </c>
      <c r="C17">
        <v>20.9</v>
      </c>
      <c r="D17">
        <v>13.1</v>
      </c>
      <c r="E17">
        <v>10.3</v>
      </c>
      <c r="F17">
        <v>73.3</v>
      </c>
      <c r="K17">
        <v>31.3</v>
      </c>
      <c r="L17" s="4" t="s">
        <v>1602</v>
      </c>
    </row>
    <row r="19" spans="1:12" x14ac:dyDescent="0.25">
      <c r="A19" s="5" t="s">
        <v>1168</v>
      </c>
      <c r="B19" s="6">
        <f t="shared" ref="B19:K19" si="0">AVERAGE(B4:B17)</f>
        <v>72.8</v>
      </c>
      <c r="C19" s="6">
        <f t="shared" si="0"/>
        <v>20.728571428571428</v>
      </c>
      <c r="D19" s="6">
        <f t="shared" si="0"/>
        <v>14.77485714285714</v>
      </c>
      <c r="E19" s="6">
        <f t="shared" si="0"/>
        <v>11.761538461538462</v>
      </c>
      <c r="F19" s="6">
        <f t="shared" si="0"/>
        <v>75.954545454545453</v>
      </c>
      <c r="G19" s="6">
        <f t="shared" si="0"/>
        <v>14.218181818181819</v>
      </c>
      <c r="H19" s="6">
        <f t="shared" si="0"/>
        <v>13.31111111111111</v>
      </c>
      <c r="I19" s="6">
        <f t="shared" si="0"/>
        <v>11.222222222222221</v>
      </c>
      <c r="J19" s="6">
        <f t="shared" si="0"/>
        <v>76.88</v>
      </c>
      <c r="K19" s="6">
        <f t="shared" si="0"/>
        <v>29.392857142857142</v>
      </c>
    </row>
  </sheetData>
  <mergeCells count="2">
    <mergeCell ref="D2:F2"/>
    <mergeCell ref="G2:J2"/>
  </mergeCells>
  <hyperlinks>
    <hyperlink ref="L7" r:id="rId1" xr:uid="{00000000-0004-0000-1600-000000000000}"/>
    <hyperlink ref="L9" r:id="rId2" xr:uid="{00000000-0004-0000-1600-000001000000}"/>
    <hyperlink ref="L17" r:id="rId3" xr:uid="{00000000-0004-0000-1600-000002000000}"/>
    <hyperlink ref="L4" r:id="rId4" xr:uid="{A15405F3-0765-3A41-8F73-570927326FF6}"/>
    <hyperlink ref="L5" r:id="rId5" xr:uid="{15CCE37B-47BD-6E47-BC1D-1E725AA88FE1}"/>
    <hyperlink ref="L6" r:id="rId6" xr:uid="{FA8B554D-6790-E341-9765-427C0A13D873}"/>
    <hyperlink ref="L8" r:id="rId7" xr:uid="{855EAC79-7920-8040-B454-554A9CDF4DCF}"/>
    <hyperlink ref="L10" r:id="rId8" xr:uid="{0959976A-77FD-9E4A-A6D8-98B7ABAAC93C}"/>
    <hyperlink ref="L11" r:id="rId9" xr:uid="{7288087E-CD40-0246-8D83-E0F1950593C3}"/>
    <hyperlink ref="L12" r:id="rId10" xr:uid="{D9171EA1-BE63-4F4C-BBBC-FF1D774DA96A}"/>
    <hyperlink ref="L13" r:id="rId11" xr:uid="{FF2E0DDC-16A2-3743-BB2D-7E4C4F021F8A}"/>
    <hyperlink ref="L14" r:id="rId12" xr:uid="{B7DBC02D-657C-544A-8BF0-060DAB69806D}"/>
    <hyperlink ref="L15" r:id="rId13" xr:uid="{9ABB40CC-C644-A249-A4C2-1EB8DE9F5080}"/>
    <hyperlink ref="L16" r:id="rId14" xr:uid="{B2147443-46FC-E24A-9D97-FD4920A678D7}"/>
  </hyperlinks>
  <pageMargins left="0.7" right="0.7" top="0.75" bottom="0.75" header="0.3" footer="0.3"/>
  <pageSetup paperSize="9" orientation="portrait" r:id="rId1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0a235af-62e1-400e-b59d-90d0da600a36" xsi:nil="true"/>
    <lcf76f155ced4ddcb4097134ff3c332f xmlns="c084600a-df0b-4cbb-a168-433628fef2ad">
      <Terms xmlns="http://schemas.microsoft.com/office/infopath/2007/PartnerControls"/>
    </lcf76f155ced4ddcb4097134ff3c332f>
    <_Flow_SignoffStatus xmlns="c084600a-df0b-4cbb-a168-433628fef2a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C01FDD7464A2B4D8E8542CC776211B8" ma:contentTypeVersion="14" ma:contentTypeDescription="Create a new document." ma:contentTypeScope="" ma:versionID="b2b53f7ad873bd6df00e909b1c26b611">
  <xsd:schema xmlns:xsd="http://www.w3.org/2001/XMLSchema" xmlns:xs="http://www.w3.org/2001/XMLSchema" xmlns:p="http://schemas.microsoft.com/office/2006/metadata/properties" xmlns:ns2="c084600a-df0b-4cbb-a168-433628fef2ad" xmlns:ns3="a0a235af-62e1-400e-b59d-90d0da600a36" targetNamespace="http://schemas.microsoft.com/office/2006/metadata/properties" ma:root="true" ma:fieldsID="954ccef8d4159d7504b293d32e65d560" ns2:_="" ns3:_="">
    <xsd:import namespace="c084600a-df0b-4cbb-a168-433628fef2ad"/>
    <xsd:import namespace="a0a235af-62e1-400e-b59d-90d0da600a3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_Flow_SignoffStatu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84600a-df0b-4cbb-a168-433628fef2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_Flow_SignoffStatus" ma:index="20" nillable="true" ma:displayName="Sign-off status" ma:internalName="_x0024_Resources_x003a_core_x002c_Signoff_Status">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0a235af-62e1-400e-b59d-90d0da600a3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a0bb527-eb78-4651-9957-27b96431cd3b}" ma:internalName="TaxCatchAll" ma:showField="CatchAllData" ma:web="a0a235af-62e1-400e-b59d-90d0da600a3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BD014A4-3F75-410C-96E9-5F34A2EF153A}">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69BA6377-EF77-4189-AC5E-10808E9E0145}"/>
</file>

<file path=customXml/itemProps3.xml><?xml version="1.0" encoding="utf-8"?>
<ds:datastoreItem xmlns:ds="http://schemas.openxmlformats.org/officeDocument/2006/customXml" ds:itemID="{EA17985E-7274-4817-93AD-0B2CAEEE448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52</vt:i4>
      </vt:variant>
      <vt:variant>
        <vt:lpstr>Named Ranges</vt:lpstr>
      </vt:variant>
      <vt:variant>
        <vt:i4>1</vt:i4>
      </vt:variant>
    </vt:vector>
  </HeadingPairs>
  <TitlesOfParts>
    <vt:vector size="53" baseType="lpstr">
      <vt:lpstr>Complete_list</vt:lpstr>
      <vt:lpstr>Change_LOG</vt:lpstr>
      <vt:lpstr>Milk_composition</vt:lpstr>
      <vt:lpstr>Sunflower meal</vt:lpstr>
      <vt:lpstr>Pumpkin</vt:lpstr>
      <vt:lpstr>Okra</vt:lpstr>
      <vt:lpstr>Fodder silage maize)</vt:lpstr>
      <vt:lpstr>Maize stover)</vt:lpstr>
      <vt:lpstr>MIllet stover)</vt:lpstr>
      <vt:lpstr>Pigeon peas straw)</vt:lpstr>
      <vt:lpstr>Banana stems)</vt:lpstr>
      <vt:lpstr>Mango</vt:lpstr>
      <vt:lpstr>Lemon Lime</vt:lpstr>
      <vt:lpstr>Carobs</vt:lpstr>
      <vt:lpstr>Castor oil</vt:lpstr>
      <vt:lpstr>Poppy oil meal</vt:lpstr>
      <vt:lpstr>Orange</vt:lpstr>
      <vt:lpstr>Grapes</vt:lpstr>
      <vt:lpstr>Papaya</vt:lpstr>
      <vt:lpstr>Olives residues</vt:lpstr>
      <vt:lpstr>Olive  oil cake</vt:lpstr>
      <vt:lpstr>Palm kernels</vt:lpstr>
      <vt:lpstr>Yams</vt:lpstr>
      <vt:lpstr>Taro</vt:lpstr>
      <vt:lpstr>Yautia</vt:lpstr>
      <vt:lpstr>Lupins)</vt:lpstr>
      <vt:lpstr>Cereal straws</vt:lpstr>
      <vt:lpstr>Clover forage</vt:lpstr>
      <vt:lpstr>Hay grass non leguminose</vt:lpstr>
      <vt:lpstr>Hay grass leguminose</vt:lpstr>
      <vt:lpstr>Other grass</vt:lpstr>
      <vt:lpstr>Other legumes</vt:lpstr>
      <vt:lpstr>Maize)</vt:lpstr>
      <vt:lpstr>MIllet)</vt:lpstr>
      <vt:lpstr>Soybean meal)</vt:lpstr>
      <vt:lpstr>Linseed meal)</vt:lpstr>
      <vt:lpstr>Copra meal)</vt:lpstr>
      <vt:lpstr>Groundnut meal)</vt:lpstr>
      <vt:lpstr>Cake of Bran Rice</vt:lpstr>
      <vt:lpstr>Whey,dry</vt:lpstr>
      <vt:lpstr>Buckwheat Bran</vt:lpstr>
      <vt:lpstr>Bran of Rice</vt:lpstr>
      <vt:lpstr>Maize germ meal</vt:lpstr>
      <vt:lpstr>Maize germ</vt:lpstr>
      <vt:lpstr>Hempseed meal)</vt:lpstr>
      <vt:lpstr>Rapeseed meal)</vt:lpstr>
      <vt:lpstr>Cottonseed meal)</vt:lpstr>
      <vt:lpstr>Meat meal</vt:lpstr>
      <vt:lpstr>Fish meal</vt:lpstr>
      <vt:lpstr>Palm kernel meal)</vt:lpstr>
      <vt:lpstr>GRNBYDRY)</vt:lpstr>
      <vt:lpstr>GRNBYWET)</vt:lpstr>
      <vt:lpstr>Complete_list!Feed_list_merged_1</vt:lpstr>
    </vt:vector>
  </TitlesOfParts>
  <Manager/>
  <Company>FAO of the UN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Tempio, Giuseppe (NSAL)</dc:creator>
  <cp:keywords/>
  <dc:description/>
  <cp:lastModifiedBy>Tempio, Giuseppe (NSAL)</cp:lastModifiedBy>
  <cp:revision/>
  <dcterms:created xsi:type="dcterms:W3CDTF">2023-02-03T13:43:22Z</dcterms:created>
  <dcterms:modified xsi:type="dcterms:W3CDTF">2025-04-02T08:50:59Z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0x0101006C01FDD7464A2B4D8E8542CC776211B8</vt:lpwstr>
  </property>
  <property fmtid="{D5CDD505-2E9C-101B-9397-08002B2CF9AE}" pid="3" name="MediaServiceImageTags">
    <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